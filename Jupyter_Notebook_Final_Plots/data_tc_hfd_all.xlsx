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\AppData\Local\Temp\Mxt236\RemoteFiles\263912_8_19\"/>
    </mc:Choice>
  </mc:AlternateContent>
  <xr:revisionPtr revIDLastSave="0" documentId="13_ncr:1_{8A88F01D-07FD-4A01-86F8-EF8781B0A1F4}" xr6:coauthVersionLast="47" xr6:coauthVersionMax="47" xr10:uidLastSave="{00000000-0000-0000-0000-000000000000}"/>
  <bookViews>
    <workbookView xWindow="-110" yWindow="-110" windowWidth="19420" windowHeight="11500" firstSheet="15" activeTab="16" xr2:uid="{6E2CE828-8736-4F21-9CC4-9D950F81ABAA}"/>
  </bookViews>
  <sheets>
    <sheet name="data_tc_hfd_full" sheetId="1" r:id="rId1"/>
    <sheet name="Systems_StatePoints_Training" sheetId="17" r:id="rId2"/>
    <sheet name="Systems_StatePoints_Validation" sheetId="18" r:id="rId3"/>
    <sheet name="Systems_StatePoints_Testing" sheetId="19" r:id="rId4"/>
    <sheet name="Systems_StatePoints_PureIL" sheetId="20" r:id="rId5"/>
    <sheet name="Systems_StatePoints_IL_HFC_MIX" sheetId="21" r:id="rId6"/>
    <sheet name="Systems_StatePoints_Others" sheetId="22" r:id="rId7"/>
    <sheet name="data_tc_hfd_IL" sheetId="5" r:id="rId8"/>
    <sheet name="data_tc_hfd_IL_HFC" sheetId="14" r:id="rId9"/>
    <sheet name="Alkanes_sameT" sheetId="10" r:id="rId10"/>
    <sheet name="ILs_sameT" sheetId="11" r:id="rId11"/>
    <sheet name="data_tc_hfd_train" sheetId="2" r:id="rId12"/>
    <sheet name="data_tc_hfd_val" sheetId="3" r:id="rId13"/>
    <sheet name="data_tc_hfd_test" sheetId="4" r:id="rId14"/>
    <sheet name="data_tc_hfd_IL_with_ref" sheetId="7" r:id="rId15"/>
    <sheet name="Alkanes_sameTr" sheetId="9" r:id="rId16"/>
    <sheet name="data_Tc_full_orig" sheetId="13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4" l="1"/>
  <c r="M4" i="14"/>
  <c r="M5" i="14"/>
  <c r="M6" i="14"/>
  <c r="M2" i="14"/>
  <c r="E3" i="14"/>
  <c r="E4" i="14"/>
  <c r="E5" i="14"/>
  <c r="E6" i="14"/>
  <c r="D3" i="14"/>
  <c r="D4" i="14"/>
  <c r="D5" i="14"/>
  <c r="D6" i="14"/>
  <c r="E2" i="14"/>
  <c r="D2" i="14"/>
  <c r="H3" i="14"/>
  <c r="H4" i="14"/>
  <c r="H5" i="14"/>
  <c r="H6" i="14"/>
  <c r="H2" i="14"/>
</calcChain>
</file>

<file path=xl/sharedStrings.xml><?xml version="1.0" encoding="utf-8"?>
<sst xmlns="http://schemas.openxmlformats.org/spreadsheetml/2006/main" count="596" uniqueCount="203">
  <si>
    <t>molecule_statepoint</t>
  </si>
  <si>
    <t>hexafluorobenzene_12_900_323.15</t>
  </si>
  <si>
    <t>bromobenzene_12_900_298.15</t>
  </si>
  <si>
    <t>bromobenzene_12_900_348.15</t>
  </si>
  <si>
    <t>chlorobenzene_12_900_298.15</t>
  </si>
  <si>
    <t>chlorobenzene_12_900_348.15</t>
  </si>
  <si>
    <t>cyclopentane_15_730_298.15</t>
  </si>
  <si>
    <t>cycloheptane_21_520_298.15</t>
  </si>
  <si>
    <t>cycloheptane_21_520_348.15</t>
  </si>
  <si>
    <t>perfluorooctane_26_420_298.15</t>
  </si>
  <si>
    <t>perfluorooctane_26_420_348.15</t>
  </si>
  <si>
    <t>perfluoroheptane_23_470_348.15</t>
  </si>
  <si>
    <t>one-bromohexane_20_550_348.15</t>
  </si>
  <si>
    <t>one-chlorooctane_26_420_298.15</t>
  </si>
  <si>
    <t>one-chlorooctane_26_420_348.15</t>
  </si>
  <si>
    <t>bromoethane_8_1400_248.15</t>
  </si>
  <si>
    <t>bromoethane_8_1400_298.15</t>
  </si>
  <si>
    <t>undecane_35_330_273.15</t>
  </si>
  <si>
    <t>undecane_35_330_323.15</t>
  </si>
  <si>
    <t>undecane_35_330_325.89</t>
  </si>
  <si>
    <t>decane_32_340_273.15</t>
  </si>
  <si>
    <t>decane_32_340_315.08</t>
  </si>
  <si>
    <t>decane_32_340_323.15</t>
  </si>
  <si>
    <t>nonane_29_380_273.15</t>
  </si>
  <si>
    <t>nonane_29_380_303.45</t>
  </si>
  <si>
    <t>nonane_29_380_323.15</t>
  </si>
  <si>
    <t>octane_26_430_273.15</t>
  </si>
  <si>
    <t>octane_26_430_290.04</t>
  </si>
  <si>
    <t>octane_26_430_323.15</t>
  </si>
  <si>
    <t>hexane_20_550_258.88</t>
  </si>
  <si>
    <t>hexane_20_550_273.15</t>
  </si>
  <si>
    <t>hexane_20_550_323.15</t>
  </si>
  <si>
    <t>pentane_17_700_239.60</t>
  </si>
  <si>
    <t>pentane_17_700_248.15</t>
  </si>
  <si>
    <t>pentane_17_700_298.15</t>
  </si>
  <si>
    <t>butane_14_850_198.15</t>
  </si>
  <si>
    <t>butane_14_850_216.75</t>
  </si>
  <si>
    <t>butane_14_850_248.15</t>
  </si>
  <si>
    <t>propane_11_1000_148.15</t>
  </si>
  <si>
    <t>propane_11_1000_188.65</t>
  </si>
  <si>
    <t>propane_11_1000_198.15</t>
  </si>
  <si>
    <t>fluorobenzene_12_900_298.15</t>
  </si>
  <si>
    <t>fluorobenzene_12_900_348.15</t>
  </si>
  <si>
    <t>cyclohexane_18_600_298.15</t>
  </si>
  <si>
    <t>cyclohexane_18_600_348.15</t>
  </si>
  <si>
    <t>perfluorohexane_20_550_298.15</t>
  </si>
  <si>
    <t>one-bromohexane_20_550_298.15</t>
  </si>
  <si>
    <t>dodecane_38_310_323.15</t>
  </si>
  <si>
    <t>dodecane_38_310_335.68</t>
  </si>
  <si>
    <t>heptane_23_490_273.15</t>
  </si>
  <si>
    <t>heptane_23_490_275.40</t>
  </si>
  <si>
    <t>heptane_23_490_323.15</t>
  </si>
  <si>
    <t>decylacetate_38_310_298.15</t>
  </si>
  <si>
    <t>decylacetate_38_310_348.15</t>
  </si>
  <si>
    <t>dipentylether_33_330_298.15</t>
  </si>
  <si>
    <t>dipentylether_33_330_348.15</t>
  </si>
  <si>
    <t>one-decanol_33_330_298.15</t>
  </si>
  <si>
    <t>one-decanol_33_330_348.15</t>
  </si>
  <si>
    <t>one-decene_30_360_298.15</t>
  </si>
  <si>
    <t>one-decene_30_360_348.15</t>
  </si>
  <si>
    <t>hexylbenzene_30_360_298.15</t>
  </si>
  <si>
    <t>hexylbenzene_30_360_348.15</t>
  </si>
  <si>
    <t>butylbenzene_24_460_348.15</t>
  </si>
  <si>
    <t>butylpropanoate_23_470_298.15</t>
  </si>
  <si>
    <t>butylpropanoate_23_470_348.15</t>
  </si>
  <si>
    <t>one-butanol_15_730_298.15</t>
  </si>
  <si>
    <t>one-butanol_15_730_348.15</t>
  </si>
  <si>
    <t>decanoicacid_32_340_348.15</t>
  </si>
  <si>
    <t>Ref/Exp Data</t>
  </si>
  <si>
    <t>Unc. In Ref Data</t>
  </si>
  <si>
    <t>aceticacid_8_1400_298.15</t>
  </si>
  <si>
    <t>ethane_8_1500_123.15</t>
  </si>
  <si>
    <t>ethane_8_1500_155.70</t>
  </si>
  <si>
    <t>dodecane_38_310_273.15</t>
  </si>
  <si>
    <t>num_sites</t>
  </si>
  <si>
    <t>num_H_sites</t>
  </si>
  <si>
    <t>C2MIM_TF2N_320_328</t>
  </si>
  <si>
    <t>IL_statepoint</t>
  </si>
  <si>
    <t>Exp. Data Reference Source</t>
  </si>
  <si>
    <t>Al-Barghouti, Karim S.; Scurto, Aaron M. (2022) J. Chem. Eng. Data 67(8), 1796-1809.</t>
  </si>
  <si>
    <t>C2MIM_TF2N_320_298</t>
  </si>
  <si>
    <t>C4MIM_TF2N_275_298</t>
  </si>
  <si>
    <t>C6MIM_TF2N_239_298</t>
  </si>
  <si>
    <t>C8MIM_TF2N_212_298</t>
  </si>
  <si>
    <t>AlBarghouti, K. S.; Scurto, A. M. (2022) AIChE J. 68(6), e17635.</t>
  </si>
  <si>
    <t>Zaripov, Z. I.; Nakipov, R. R.; Gumerov, F. M.; Boncel, S.; Dzida, M.; Abdulagatov, I. M. (2022) J. Mol. Liq. 357, 119091.</t>
  </si>
  <si>
    <t>Oster, K.; Goodrich, P.; Jacquemin, J.; Hardacre, C.; Ribeiro, A.P.C.; Elsinawi, A. (2018) J. Chem. Thermodyn. 121, 97-111.</t>
  </si>
  <si>
    <t>Nieto de Castro, C. A.; Lourenco, M. J. V.; Ribeiro, A. P. C.; Langa, E.; Vieira, S. I. C. (2010) J. Chem. Eng. Data 55(2), 653-661.</t>
  </si>
  <si>
    <t>Tomida, D.; Kenmochi, S.; Tsukada, T.; Qiao, K.; Yokoyama, C. (2007) Int. J. Thermophys. 28(4), 1147-1160.</t>
  </si>
  <si>
    <t>Chen, H.; He, Y.; Zhu, J.; Alias, H.; Ding, Y.; Nancarrow, P.; Hardacre, C.; Rooney, D.; Tan, C. (2008) Int. J. Heat Fluid Flow 29, 149-155.</t>
  </si>
  <si>
    <t>C2MIM_SCN_500_298</t>
  </si>
  <si>
    <t>C4MIM_PF6_340_298</t>
  </si>
  <si>
    <t>C6MIM_PF6_290_298</t>
  </si>
  <si>
    <t>C8MIM_PF6_250_298</t>
  </si>
  <si>
    <t>BMIM_TF2N_275_298</t>
  </si>
  <si>
    <t>HMIM_TF2N_239_298</t>
  </si>
  <si>
    <t>BMIM_PF6_340_298</t>
  </si>
  <si>
    <t>HMIM_PF6_290_298</t>
  </si>
  <si>
    <t>EMIM_SCN_500_298</t>
  </si>
  <si>
    <t>num_C_sites</t>
  </si>
  <si>
    <t>Alkyl_chain_length</t>
  </si>
  <si>
    <t>R134a_emimtfsi_1088_192_646</t>
  </si>
  <si>
    <t>R134a_emimtfsi_160_480_215</t>
  </si>
  <si>
    <t>R134a_emimtfsi_320_320_422</t>
  </si>
  <si>
    <t>R134a_emimtfsi_598_256_573</t>
  </si>
  <si>
    <t>R134a_emimtfsi_1294_128_656</t>
  </si>
  <si>
    <t>HFC molecules</t>
  </si>
  <si>
    <t>IL ion pairs</t>
  </si>
  <si>
    <t>HFC Comp</t>
  </si>
  <si>
    <t>num R134a H</t>
  </si>
  <si>
    <t>num R134a sites</t>
  </si>
  <si>
    <t>num IL H</t>
  </si>
  <si>
    <t>num IL sites</t>
  </si>
  <si>
    <t>Experimental Ref.</t>
  </si>
  <si>
    <t>bromobenzene</t>
  </si>
  <si>
    <t>bromoethane</t>
  </si>
  <si>
    <t>butane</t>
  </si>
  <si>
    <t>chlorobenzene</t>
  </si>
  <si>
    <t>cycloheptane</t>
  </si>
  <si>
    <t>cyclopentane</t>
  </si>
  <si>
    <t>decane</t>
  </si>
  <si>
    <t>dodecane</t>
  </si>
  <si>
    <t>hexafluorobenzene</t>
  </si>
  <si>
    <t>hexane</t>
  </si>
  <si>
    <t>nonane</t>
  </si>
  <si>
    <t>octane</t>
  </si>
  <si>
    <t>one-bromohexane</t>
  </si>
  <si>
    <t>one-chlorooctane</t>
  </si>
  <si>
    <t>pentane</t>
  </si>
  <si>
    <t>perfluoroheptane</t>
  </si>
  <si>
    <t>perfluorooctane</t>
  </si>
  <si>
    <t>propane</t>
  </si>
  <si>
    <t>undecane</t>
  </si>
  <si>
    <t>VFTT1994</t>
  </si>
  <si>
    <t>PRNCC2002</t>
  </si>
  <si>
    <t>HML2018</t>
  </si>
  <si>
    <t>DCFBMPK2020</t>
  </si>
  <si>
    <t>VAHP2015</t>
  </si>
  <si>
    <t>HP2005</t>
  </si>
  <si>
    <t>HLP2004</t>
  </si>
  <si>
    <t>AMTHP2013</t>
  </si>
  <si>
    <t>MPR2002</t>
  </si>
  <si>
    <t>APH2017</t>
  </si>
  <si>
    <t>N</t>
  </si>
  <si>
    <t>T</t>
  </si>
  <si>
    <t>Exp</t>
  </si>
  <si>
    <t>Unc</t>
  </si>
  <si>
    <t>Bromobenzene</t>
  </si>
  <si>
    <t>Bromoethane</t>
  </si>
  <si>
    <t>Butane</t>
  </si>
  <si>
    <t>Chlorobenzene</t>
  </si>
  <si>
    <t>Cycloheptane</t>
  </si>
  <si>
    <t>Cyclopentane</t>
  </si>
  <si>
    <t>Decane</t>
  </si>
  <si>
    <t>Dodecane</t>
  </si>
  <si>
    <t>Hexafluorobenzene</t>
  </si>
  <si>
    <t>Hexane</t>
  </si>
  <si>
    <t>Nonane</t>
  </si>
  <si>
    <t>Octane</t>
  </si>
  <si>
    <t>One-Bromohexane</t>
  </si>
  <si>
    <t>Pentane</t>
  </si>
  <si>
    <t>Perfluoroheptane</t>
  </si>
  <si>
    <t>Perfluorooctane</t>
  </si>
  <si>
    <t>Propane</t>
  </si>
  <si>
    <t>Undecane</t>
  </si>
  <si>
    <t>1-Bromohexane</t>
  </si>
  <si>
    <t>1-Chlorooctane</t>
  </si>
  <si>
    <t>Cyclohexane</t>
  </si>
  <si>
    <t>Fluorobenzene</t>
  </si>
  <si>
    <t>Heptane</t>
  </si>
  <si>
    <t>Perfluorohexane</t>
  </si>
  <si>
    <t>Butylbenzene</t>
  </si>
  <si>
    <t>Butylpropanoate</t>
  </si>
  <si>
    <t>Decanoicacid</t>
  </si>
  <si>
    <t>Decylacetate</t>
  </si>
  <si>
    <t>Dipentylether</t>
  </si>
  <si>
    <t>Hexylbenzene</t>
  </si>
  <si>
    <t>1-Butanol</t>
  </si>
  <si>
    <t>1-Decanol</t>
  </si>
  <si>
    <t>1-Decene</t>
  </si>
  <si>
    <t>C2MIM[TFSI]</t>
  </si>
  <si>
    <t>BMIM[TFSI]</t>
  </si>
  <si>
    <t>HMIM[TFSI]</t>
  </si>
  <si>
    <t>BMIM[PF6]</t>
  </si>
  <si>
    <t>HMIM[PF6]</t>
  </si>
  <si>
    <t>EMIM[SCN]</t>
  </si>
  <si>
    <t>S/N</t>
  </si>
  <si>
    <t>x_R134a</t>
  </si>
  <si>
    <t>Exp. Data</t>
  </si>
  <si>
    <t>Unc.</t>
  </si>
  <si>
    <t>Ethane</t>
  </si>
  <si>
    <t>FIE1991</t>
  </si>
  <si>
    <t>\cite{Koutian2017}</t>
  </si>
  <si>
    <t>\cite{Huber2004}</t>
  </si>
  <si>
    <t>\cite{NIST_SRD103b_2020}</t>
  </si>
  <si>
    <t>\cite{Assael2013_Heptane}</t>
  </si>
  <si>
    <t>\cite{Vargaftik1994}</t>
  </si>
  <si>
    <t>\cite{Assael1988}</t>
  </si>
  <si>
    <t>\cite{al-barghoutiThermalConductivityIonic2022}</t>
  </si>
  <si>
    <t>\cite{al-barghoutiThermalConductivity1Alkyl3methylimidazolium2022a}</t>
  </si>
  <si>
    <t>/cite{chenRheologicalHeatTransfer2008}</t>
  </si>
  <si>
    <t>\cite{nietodecastroThermalPropertiesIonic2010}</t>
  </si>
  <si>
    <t>\cite{zaripovMeasurementsThermalConductivity2022}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</si>
</sst>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/>
    <xf numFmtId="0" fontId="0" fillId="0" borderId="0" xfId="0" applyAlignment="1">
      <alignment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5" fontId="0" fillId="0" borderId="0" xfId="0" quotePrefix="1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EE92-5CF7-4711-84C3-DDED608FFC06}">
  <dimension ref="A1:E71"/>
  <sheetViews>
    <sheetView workbookViewId="0">
      <selection activeCell="A22" sqref="A22"/>
    </sheetView>
  </sheetViews>
  <sheetFormatPr defaultRowHeight="14.5" x14ac:dyDescent="0.35"/>
  <cols>
    <col min="1" max="1" width="41.54296875" style="1" customWidth="1"/>
    <col min="2" max="2" width="16.1796875" style="1" customWidth="1"/>
    <col min="3" max="3" width="18.36328125" style="1" customWidth="1"/>
    <col min="4" max="4" width="14.81640625" style="1" customWidth="1"/>
    <col min="5" max="5" width="16.08984375" style="1" customWidth="1"/>
    <col min="6" max="6" width="15.6328125" style="1" customWidth="1"/>
    <col min="7" max="16384" width="8.7265625" style="1"/>
  </cols>
  <sheetData>
    <row r="1" spans="1:5" ht="16" x14ac:dyDescent="0.4">
      <c r="A1" s="3" t="s">
        <v>0</v>
      </c>
      <c r="B1" s="3" t="s">
        <v>68</v>
      </c>
      <c r="C1" s="3" t="s">
        <v>69</v>
      </c>
      <c r="D1" s="3" t="s">
        <v>74</v>
      </c>
      <c r="E1" s="3" t="s">
        <v>75</v>
      </c>
    </row>
    <row r="2" spans="1:5" x14ac:dyDescent="0.35">
      <c r="A2" s="1" t="s">
        <v>2</v>
      </c>
      <c r="B2" s="1">
        <v>111</v>
      </c>
      <c r="C2" s="4">
        <v>0.03</v>
      </c>
      <c r="D2" s="1">
        <v>12</v>
      </c>
      <c r="E2" s="1">
        <v>5</v>
      </c>
    </row>
    <row r="3" spans="1:5" x14ac:dyDescent="0.35">
      <c r="A3" s="1" t="s">
        <v>3</v>
      </c>
      <c r="B3" s="1">
        <v>103</v>
      </c>
      <c r="C3" s="4">
        <v>0.03</v>
      </c>
      <c r="D3" s="1">
        <v>12</v>
      </c>
      <c r="E3" s="1">
        <v>5</v>
      </c>
    </row>
    <row r="4" spans="1:5" x14ac:dyDescent="0.35">
      <c r="A4" s="1" t="s">
        <v>15</v>
      </c>
      <c r="B4" s="1">
        <v>107</v>
      </c>
      <c r="C4" s="4">
        <v>0.03</v>
      </c>
      <c r="D4" s="1">
        <v>8</v>
      </c>
      <c r="E4" s="1">
        <v>5</v>
      </c>
    </row>
    <row r="5" spans="1:5" x14ac:dyDescent="0.35">
      <c r="A5" s="1" t="s">
        <v>16</v>
      </c>
      <c r="B5" s="1">
        <v>101</v>
      </c>
      <c r="C5" s="4">
        <v>0.03</v>
      </c>
      <c r="D5" s="1">
        <v>8</v>
      </c>
      <c r="E5" s="1">
        <v>5</v>
      </c>
    </row>
    <row r="6" spans="1:5" x14ac:dyDescent="0.35">
      <c r="A6" s="1" t="s">
        <v>35</v>
      </c>
      <c r="B6" s="1">
        <v>150</v>
      </c>
      <c r="C6" s="4">
        <v>0.03</v>
      </c>
      <c r="D6" s="1">
        <v>14</v>
      </c>
      <c r="E6" s="1">
        <v>10</v>
      </c>
    </row>
    <row r="7" spans="1:5" x14ac:dyDescent="0.35">
      <c r="A7" s="5" t="s">
        <v>36</v>
      </c>
      <c r="B7" s="1">
        <v>141.5</v>
      </c>
      <c r="C7" s="4">
        <v>0.03</v>
      </c>
      <c r="D7" s="1">
        <v>14</v>
      </c>
      <c r="E7" s="1">
        <v>10</v>
      </c>
    </row>
    <row r="8" spans="1:5" x14ac:dyDescent="0.35">
      <c r="A8" s="1" t="s">
        <v>37</v>
      </c>
      <c r="B8" s="1">
        <v>127</v>
      </c>
      <c r="C8" s="4">
        <v>0.03</v>
      </c>
      <c r="D8" s="1">
        <v>14</v>
      </c>
      <c r="E8" s="1">
        <v>10</v>
      </c>
    </row>
    <row r="9" spans="1:5" x14ac:dyDescent="0.35">
      <c r="A9" s="1" t="s">
        <v>62</v>
      </c>
      <c r="B9" s="1">
        <v>119</v>
      </c>
      <c r="C9" s="4">
        <v>0.03</v>
      </c>
      <c r="D9" s="1">
        <v>24</v>
      </c>
      <c r="E9" s="1">
        <v>14</v>
      </c>
    </row>
    <row r="10" spans="1:5" x14ac:dyDescent="0.35">
      <c r="A10" s="1" t="s">
        <v>63</v>
      </c>
      <c r="B10" s="1">
        <v>139</v>
      </c>
      <c r="C10" s="4">
        <v>0.03</v>
      </c>
      <c r="D10" s="1">
        <v>23</v>
      </c>
      <c r="E10" s="1">
        <v>14</v>
      </c>
    </row>
    <row r="11" spans="1:5" x14ac:dyDescent="0.35">
      <c r="A11" s="1" t="s">
        <v>64</v>
      </c>
      <c r="B11" s="1">
        <v>126</v>
      </c>
      <c r="C11" s="4">
        <v>0.03</v>
      </c>
      <c r="D11" s="1">
        <v>23</v>
      </c>
      <c r="E11" s="1">
        <v>14</v>
      </c>
    </row>
    <row r="12" spans="1:5" x14ac:dyDescent="0.35">
      <c r="A12" s="1" t="s">
        <v>4</v>
      </c>
      <c r="B12" s="1">
        <v>124</v>
      </c>
      <c r="C12" s="4">
        <v>0.03</v>
      </c>
      <c r="D12" s="1">
        <v>12</v>
      </c>
      <c r="E12" s="1">
        <v>5</v>
      </c>
    </row>
    <row r="13" spans="1:5" x14ac:dyDescent="0.35">
      <c r="A13" s="1" t="s">
        <v>5</v>
      </c>
      <c r="B13" s="1">
        <v>113</v>
      </c>
      <c r="C13" s="4">
        <v>0.03</v>
      </c>
      <c r="D13" s="1">
        <v>12</v>
      </c>
      <c r="E13" s="1">
        <v>5</v>
      </c>
    </row>
    <row r="14" spans="1:5" x14ac:dyDescent="0.35">
      <c r="A14" s="1" t="s">
        <v>7</v>
      </c>
      <c r="B14" s="1">
        <v>118</v>
      </c>
      <c r="C14" s="4">
        <v>0.03</v>
      </c>
      <c r="D14" s="1">
        <v>21</v>
      </c>
      <c r="E14" s="1">
        <v>14</v>
      </c>
    </row>
    <row r="15" spans="1:5" x14ac:dyDescent="0.35">
      <c r="A15" s="1" t="s">
        <v>8</v>
      </c>
      <c r="B15" s="1">
        <v>109</v>
      </c>
      <c r="C15" s="4">
        <v>0.03</v>
      </c>
      <c r="D15" s="1">
        <v>21</v>
      </c>
      <c r="E15" s="1">
        <v>14</v>
      </c>
    </row>
    <row r="16" spans="1:5" x14ac:dyDescent="0.35">
      <c r="A16" s="1" t="s">
        <v>43</v>
      </c>
      <c r="B16" s="1">
        <v>118.1</v>
      </c>
      <c r="C16" s="4">
        <v>0.01</v>
      </c>
      <c r="D16" s="1">
        <v>18</v>
      </c>
      <c r="E16" s="1">
        <v>12</v>
      </c>
    </row>
    <row r="17" spans="1:5" x14ac:dyDescent="0.35">
      <c r="A17" s="1" t="s">
        <v>44</v>
      </c>
      <c r="B17" s="1">
        <v>106</v>
      </c>
      <c r="C17" s="4">
        <v>0.03</v>
      </c>
      <c r="D17" s="1">
        <v>18</v>
      </c>
      <c r="E17" s="1">
        <v>12</v>
      </c>
    </row>
    <row r="18" spans="1:5" x14ac:dyDescent="0.35">
      <c r="A18" s="1" t="s">
        <v>6</v>
      </c>
      <c r="B18" s="1">
        <v>126.6</v>
      </c>
      <c r="C18" s="4">
        <v>0.01</v>
      </c>
      <c r="D18" s="1">
        <v>15</v>
      </c>
      <c r="E18" s="1">
        <v>10</v>
      </c>
    </row>
    <row r="19" spans="1:5" x14ac:dyDescent="0.35">
      <c r="A19" s="1" t="s">
        <v>20</v>
      </c>
      <c r="B19" s="1">
        <v>136</v>
      </c>
      <c r="C19" s="4">
        <v>0.03</v>
      </c>
      <c r="D19" s="1">
        <v>32</v>
      </c>
      <c r="E19" s="1">
        <v>22</v>
      </c>
    </row>
    <row r="20" spans="1:5" x14ac:dyDescent="0.35">
      <c r="A20" s="5" t="s">
        <v>21</v>
      </c>
      <c r="B20" s="1">
        <v>125</v>
      </c>
      <c r="C20" s="4">
        <v>0.03</v>
      </c>
      <c r="D20" s="1">
        <v>32</v>
      </c>
      <c r="E20" s="1">
        <v>22</v>
      </c>
    </row>
    <row r="21" spans="1:5" x14ac:dyDescent="0.35">
      <c r="A21" s="1" t="s">
        <v>22</v>
      </c>
      <c r="B21" s="1">
        <v>123</v>
      </c>
      <c r="C21" s="4">
        <v>0.03</v>
      </c>
      <c r="D21" s="1">
        <v>32</v>
      </c>
      <c r="E21" s="1">
        <v>22</v>
      </c>
    </row>
    <row r="22" spans="1:5" x14ac:dyDescent="0.35">
      <c r="A22" s="1" t="s">
        <v>67</v>
      </c>
      <c r="B22" s="1">
        <v>145</v>
      </c>
      <c r="C22" s="4">
        <v>0.03</v>
      </c>
      <c r="D22" s="1">
        <v>32</v>
      </c>
      <c r="E22" s="1">
        <v>20</v>
      </c>
    </row>
    <row r="23" spans="1:5" x14ac:dyDescent="0.35">
      <c r="A23" s="1" t="s">
        <v>52</v>
      </c>
      <c r="B23" s="1">
        <v>148</v>
      </c>
      <c r="C23" s="4">
        <v>0.03</v>
      </c>
      <c r="D23" s="1">
        <v>38</v>
      </c>
      <c r="E23" s="1">
        <v>24</v>
      </c>
    </row>
    <row r="24" spans="1:5" x14ac:dyDescent="0.35">
      <c r="A24" s="1" t="s">
        <v>53</v>
      </c>
      <c r="B24" s="1">
        <v>128</v>
      </c>
      <c r="C24" s="4">
        <v>0.03</v>
      </c>
      <c r="D24" s="1">
        <v>38</v>
      </c>
      <c r="E24" s="1">
        <v>24</v>
      </c>
    </row>
    <row r="25" spans="1:5" x14ac:dyDescent="0.35">
      <c r="A25" s="1" t="s">
        <v>54</v>
      </c>
      <c r="B25" s="1">
        <v>135</v>
      </c>
      <c r="C25" s="4">
        <v>0.03</v>
      </c>
      <c r="D25" s="1">
        <v>33</v>
      </c>
      <c r="E25" s="1">
        <v>22</v>
      </c>
    </row>
    <row r="26" spans="1:5" x14ac:dyDescent="0.35">
      <c r="A26" s="1" t="s">
        <v>55</v>
      </c>
      <c r="B26" s="1">
        <v>128</v>
      </c>
      <c r="C26" s="4">
        <v>0.03</v>
      </c>
      <c r="D26" s="1">
        <v>33</v>
      </c>
      <c r="E26" s="1">
        <v>22</v>
      </c>
    </row>
    <row r="27" spans="1:5" x14ac:dyDescent="0.35">
      <c r="A27" s="1" t="s">
        <v>73</v>
      </c>
      <c r="B27" s="1">
        <v>141.5</v>
      </c>
      <c r="C27" s="4">
        <v>0.03</v>
      </c>
      <c r="D27" s="1">
        <v>38</v>
      </c>
      <c r="E27" s="1">
        <v>26</v>
      </c>
    </row>
    <row r="28" spans="1:5" x14ac:dyDescent="0.35">
      <c r="A28" s="1" t="s">
        <v>47</v>
      </c>
      <c r="B28" s="1">
        <v>129.5</v>
      </c>
      <c r="C28" s="4">
        <v>0.03</v>
      </c>
      <c r="D28" s="1">
        <v>38</v>
      </c>
      <c r="E28" s="1">
        <v>26</v>
      </c>
    </row>
    <row r="29" spans="1:5" x14ac:dyDescent="0.35">
      <c r="A29" s="5" t="s">
        <v>48</v>
      </c>
      <c r="B29" s="1">
        <v>127</v>
      </c>
      <c r="C29" s="4">
        <v>0.03</v>
      </c>
      <c r="D29" s="1">
        <v>38</v>
      </c>
      <c r="E29" s="1">
        <v>26</v>
      </c>
    </row>
    <row r="30" spans="1:5" x14ac:dyDescent="0.35">
      <c r="A30" s="1" t="s">
        <v>71</v>
      </c>
      <c r="B30" s="1">
        <v>227</v>
      </c>
      <c r="C30" s="4">
        <v>0.02</v>
      </c>
      <c r="D30" s="1">
        <v>8</v>
      </c>
      <c r="E30" s="1">
        <v>6</v>
      </c>
    </row>
    <row r="31" spans="1:5" x14ac:dyDescent="0.35">
      <c r="A31" s="5" t="s">
        <v>72</v>
      </c>
      <c r="B31" s="1">
        <v>195</v>
      </c>
      <c r="C31" s="4">
        <v>0.02</v>
      </c>
      <c r="D31" s="1">
        <v>8</v>
      </c>
      <c r="E31" s="1">
        <v>6</v>
      </c>
    </row>
    <row r="32" spans="1:5" x14ac:dyDescent="0.35">
      <c r="A32" s="1" t="s">
        <v>41</v>
      </c>
      <c r="B32" s="1">
        <v>124</v>
      </c>
      <c r="C32" s="4">
        <v>0.03</v>
      </c>
      <c r="D32" s="1">
        <v>12</v>
      </c>
      <c r="E32" s="1">
        <v>5</v>
      </c>
    </row>
    <row r="33" spans="1:5" x14ac:dyDescent="0.35">
      <c r="A33" s="1" t="s">
        <v>42</v>
      </c>
      <c r="B33" s="1">
        <v>109</v>
      </c>
      <c r="C33" s="4">
        <v>0.03</v>
      </c>
      <c r="D33" s="1">
        <v>12</v>
      </c>
      <c r="E33" s="1">
        <v>5</v>
      </c>
    </row>
    <row r="34" spans="1:5" x14ac:dyDescent="0.35">
      <c r="A34" s="1" t="s">
        <v>49</v>
      </c>
      <c r="B34" s="1">
        <v>129.80000000000001</v>
      </c>
      <c r="C34" s="4">
        <v>0.04</v>
      </c>
      <c r="D34" s="1">
        <v>23</v>
      </c>
      <c r="E34" s="1">
        <v>16</v>
      </c>
    </row>
    <row r="35" spans="1:5" x14ac:dyDescent="0.35">
      <c r="A35" s="5" t="s">
        <v>50</v>
      </c>
      <c r="B35" s="1">
        <v>129</v>
      </c>
      <c r="C35" s="4">
        <v>0.04</v>
      </c>
      <c r="D35" s="1">
        <v>23</v>
      </c>
      <c r="E35" s="1">
        <v>16</v>
      </c>
    </row>
    <row r="36" spans="1:5" x14ac:dyDescent="0.35">
      <c r="A36" s="1" t="s">
        <v>51</v>
      </c>
      <c r="B36" s="1">
        <v>114.7</v>
      </c>
      <c r="C36" s="4">
        <v>0.04</v>
      </c>
      <c r="D36" s="1">
        <v>23</v>
      </c>
      <c r="E36" s="1">
        <v>16</v>
      </c>
    </row>
    <row r="37" spans="1:5" x14ac:dyDescent="0.35">
      <c r="A37" s="1" t="s">
        <v>1</v>
      </c>
      <c r="B37" s="1">
        <v>83</v>
      </c>
      <c r="C37" s="4">
        <v>0.03</v>
      </c>
      <c r="D37" s="1">
        <v>12</v>
      </c>
      <c r="E37" s="1">
        <v>0</v>
      </c>
    </row>
    <row r="38" spans="1:5" x14ac:dyDescent="0.35">
      <c r="A38" s="5" t="s">
        <v>29</v>
      </c>
      <c r="B38" s="1">
        <v>133</v>
      </c>
      <c r="C38" s="4">
        <v>4.2000000000000003E-2</v>
      </c>
      <c r="D38" s="1">
        <v>20</v>
      </c>
      <c r="E38" s="1">
        <v>14</v>
      </c>
    </row>
    <row r="39" spans="1:5" x14ac:dyDescent="0.35">
      <c r="A39" s="1" t="s">
        <v>30</v>
      </c>
      <c r="B39" s="1">
        <v>128</v>
      </c>
      <c r="C39" s="4">
        <v>4.2000000000000003E-2</v>
      </c>
      <c r="D39" s="1">
        <v>20</v>
      </c>
      <c r="E39" s="1">
        <v>14</v>
      </c>
    </row>
    <row r="40" spans="1:5" x14ac:dyDescent="0.35">
      <c r="A40" s="1" t="s">
        <v>31</v>
      </c>
      <c r="B40" s="1">
        <v>113</v>
      </c>
      <c r="C40" s="4">
        <v>4.2000000000000003E-2</v>
      </c>
      <c r="D40" s="1">
        <v>20</v>
      </c>
      <c r="E40" s="1">
        <v>14</v>
      </c>
    </row>
    <row r="41" spans="1:5" x14ac:dyDescent="0.35">
      <c r="A41" s="1" t="s">
        <v>60</v>
      </c>
      <c r="B41" s="1">
        <v>129</v>
      </c>
      <c r="C41" s="4">
        <v>0.03</v>
      </c>
      <c r="D41" s="1">
        <v>30</v>
      </c>
      <c r="E41" s="1">
        <v>18</v>
      </c>
    </row>
    <row r="42" spans="1:5" x14ac:dyDescent="0.35">
      <c r="A42" s="1" t="s">
        <v>61</v>
      </c>
      <c r="B42" s="1">
        <v>123</v>
      </c>
      <c r="C42" s="4">
        <v>0.03</v>
      </c>
      <c r="D42" s="1">
        <v>30</v>
      </c>
      <c r="E42" s="1">
        <v>18</v>
      </c>
    </row>
    <row r="43" spans="1:5" x14ac:dyDescent="0.35">
      <c r="A43" s="1" t="s">
        <v>23</v>
      </c>
      <c r="B43" s="1">
        <v>134</v>
      </c>
      <c r="C43" s="4">
        <v>0.03</v>
      </c>
      <c r="D43" s="1">
        <v>29</v>
      </c>
      <c r="E43" s="1">
        <v>20</v>
      </c>
    </row>
    <row r="44" spans="1:5" x14ac:dyDescent="0.35">
      <c r="A44" s="5" t="s">
        <v>24</v>
      </c>
      <c r="B44" s="1">
        <v>125</v>
      </c>
      <c r="C44" s="4">
        <v>0.03</v>
      </c>
      <c r="D44" s="1">
        <v>29</v>
      </c>
      <c r="E44" s="1">
        <v>20</v>
      </c>
    </row>
    <row r="45" spans="1:5" x14ac:dyDescent="0.35">
      <c r="A45" s="1" t="s">
        <v>25</v>
      </c>
      <c r="B45" s="1">
        <v>120</v>
      </c>
      <c r="C45" s="4">
        <v>0.03</v>
      </c>
      <c r="D45" s="1">
        <v>29</v>
      </c>
      <c r="E45" s="1">
        <v>20</v>
      </c>
    </row>
    <row r="46" spans="1:5" x14ac:dyDescent="0.35">
      <c r="A46" s="1" t="s">
        <v>26</v>
      </c>
      <c r="B46" s="1">
        <v>133</v>
      </c>
      <c r="C46" s="4">
        <v>0.03</v>
      </c>
      <c r="D46" s="1">
        <v>26</v>
      </c>
      <c r="E46" s="1">
        <v>18</v>
      </c>
    </row>
    <row r="47" spans="1:5" x14ac:dyDescent="0.35">
      <c r="A47" s="5" t="s">
        <v>27</v>
      </c>
      <c r="B47" s="1">
        <v>127</v>
      </c>
      <c r="C47" s="4">
        <v>0.03</v>
      </c>
      <c r="D47" s="1">
        <v>26</v>
      </c>
      <c r="E47" s="1">
        <v>18</v>
      </c>
    </row>
    <row r="48" spans="1:5" x14ac:dyDescent="0.35">
      <c r="A48" s="1" t="s">
        <v>28</v>
      </c>
      <c r="B48" s="1">
        <v>117</v>
      </c>
      <c r="C48" s="4">
        <v>0.03</v>
      </c>
      <c r="D48" s="1">
        <v>26</v>
      </c>
      <c r="E48" s="1">
        <v>18</v>
      </c>
    </row>
    <row r="49" spans="1:5" x14ac:dyDescent="0.35">
      <c r="A49" s="1" t="s">
        <v>46</v>
      </c>
      <c r="B49" s="1">
        <v>108</v>
      </c>
      <c r="C49" s="4">
        <v>0.03</v>
      </c>
      <c r="D49" s="1">
        <v>20</v>
      </c>
      <c r="E49" s="1">
        <v>13</v>
      </c>
    </row>
    <row r="50" spans="1:5" x14ac:dyDescent="0.35">
      <c r="A50" s="1" t="s">
        <v>12</v>
      </c>
      <c r="B50" s="1">
        <v>101</v>
      </c>
      <c r="C50" s="4">
        <v>0.03</v>
      </c>
      <c r="D50" s="1">
        <v>20</v>
      </c>
      <c r="E50" s="1">
        <v>13</v>
      </c>
    </row>
    <row r="51" spans="1:5" x14ac:dyDescent="0.35">
      <c r="A51" s="1" t="s">
        <v>65</v>
      </c>
      <c r="B51" s="2">
        <v>147.6</v>
      </c>
      <c r="C51" s="4">
        <v>0.01</v>
      </c>
      <c r="D51" s="1">
        <v>15</v>
      </c>
      <c r="E51" s="1">
        <v>10</v>
      </c>
    </row>
    <row r="52" spans="1:5" x14ac:dyDescent="0.35">
      <c r="A52" s="1" t="s">
        <v>66</v>
      </c>
      <c r="B52" s="1">
        <v>142.30000000000001</v>
      </c>
      <c r="C52" s="4">
        <v>0.01</v>
      </c>
      <c r="D52" s="1">
        <v>15</v>
      </c>
      <c r="E52" s="1">
        <v>10</v>
      </c>
    </row>
    <row r="53" spans="1:5" x14ac:dyDescent="0.35">
      <c r="A53" s="1" t="s">
        <v>13</v>
      </c>
      <c r="B53" s="1">
        <v>127</v>
      </c>
      <c r="C53" s="4">
        <v>0.03</v>
      </c>
      <c r="D53" s="1">
        <v>26</v>
      </c>
      <c r="E53" s="1">
        <v>17</v>
      </c>
    </row>
    <row r="54" spans="1:5" x14ac:dyDescent="0.35">
      <c r="A54" s="1" t="s">
        <v>14</v>
      </c>
      <c r="B54" s="1">
        <v>121</v>
      </c>
      <c r="C54" s="4">
        <v>0.03</v>
      </c>
      <c r="D54" s="1">
        <v>26</v>
      </c>
      <c r="E54" s="1">
        <v>17</v>
      </c>
    </row>
    <row r="55" spans="1:5" x14ac:dyDescent="0.35">
      <c r="A55" s="1" t="s">
        <v>56</v>
      </c>
      <c r="B55" s="1">
        <v>162</v>
      </c>
      <c r="C55" s="4">
        <v>0.03</v>
      </c>
      <c r="D55" s="1">
        <v>33</v>
      </c>
      <c r="E55" s="1">
        <v>22</v>
      </c>
    </row>
    <row r="56" spans="1:5" x14ac:dyDescent="0.35">
      <c r="A56" s="1" t="s">
        <v>57</v>
      </c>
      <c r="B56" s="1">
        <v>155</v>
      </c>
      <c r="C56" s="4">
        <v>0.03</v>
      </c>
      <c r="D56" s="1">
        <v>33</v>
      </c>
      <c r="E56" s="1">
        <v>22</v>
      </c>
    </row>
    <row r="57" spans="1:5" x14ac:dyDescent="0.35">
      <c r="A57" s="1" t="s">
        <v>58</v>
      </c>
      <c r="B57" s="1">
        <v>129</v>
      </c>
      <c r="C57" s="4">
        <v>0.03</v>
      </c>
      <c r="D57" s="1">
        <v>30</v>
      </c>
      <c r="E57" s="1">
        <v>20</v>
      </c>
    </row>
    <row r="58" spans="1:5" x14ac:dyDescent="0.35">
      <c r="A58" s="1" t="s">
        <v>59</v>
      </c>
      <c r="B58" s="1">
        <v>116</v>
      </c>
      <c r="C58" s="4">
        <v>0.03</v>
      </c>
      <c r="D58" s="1">
        <v>30</v>
      </c>
      <c r="E58" s="1">
        <v>20</v>
      </c>
    </row>
    <row r="59" spans="1:5" x14ac:dyDescent="0.35">
      <c r="A59" s="5" t="s">
        <v>32</v>
      </c>
      <c r="B59" s="1">
        <v>134</v>
      </c>
      <c r="C59" s="4">
        <v>0.04</v>
      </c>
      <c r="D59" s="1">
        <v>17</v>
      </c>
      <c r="E59" s="1">
        <v>12</v>
      </c>
    </row>
    <row r="60" spans="1:5" x14ac:dyDescent="0.35">
      <c r="A60" s="1" t="s">
        <v>33</v>
      </c>
      <c r="B60" s="1">
        <v>131</v>
      </c>
      <c r="C60" s="4">
        <v>0.04</v>
      </c>
      <c r="D60" s="1">
        <v>17</v>
      </c>
      <c r="E60" s="1">
        <v>12</v>
      </c>
    </row>
    <row r="61" spans="1:5" x14ac:dyDescent="0.35">
      <c r="A61" s="1" t="s">
        <v>34</v>
      </c>
      <c r="B61" s="1">
        <v>112</v>
      </c>
      <c r="C61" s="4">
        <v>0.04</v>
      </c>
      <c r="D61" s="1">
        <v>17</v>
      </c>
      <c r="E61" s="1">
        <v>12</v>
      </c>
    </row>
    <row r="62" spans="1:5" x14ac:dyDescent="0.35">
      <c r="A62" s="1" t="s">
        <v>11</v>
      </c>
      <c r="B62" s="1">
        <v>53</v>
      </c>
      <c r="C62" s="4">
        <v>0.03</v>
      </c>
      <c r="D62" s="1">
        <v>23</v>
      </c>
      <c r="E62" s="1">
        <v>0</v>
      </c>
    </row>
    <row r="63" spans="1:5" x14ac:dyDescent="0.35">
      <c r="A63" s="1" t="s">
        <v>45</v>
      </c>
      <c r="B63" s="1">
        <v>64</v>
      </c>
      <c r="C63" s="4">
        <v>0.03</v>
      </c>
      <c r="D63" s="1">
        <v>20</v>
      </c>
      <c r="E63" s="1">
        <v>0</v>
      </c>
    </row>
    <row r="64" spans="1:5" x14ac:dyDescent="0.35">
      <c r="A64" s="1" t="s">
        <v>9</v>
      </c>
      <c r="B64" s="1">
        <v>62</v>
      </c>
      <c r="C64" s="4">
        <v>0.03</v>
      </c>
      <c r="D64" s="1">
        <v>26</v>
      </c>
      <c r="E64" s="1">
        <v>0</v>
      </c>
    </row>
    <row r="65" spans="1:5" x14ac:dyDescent="0.35">
      <c r="A65" s="1" t="s">
        <v>10</v>
      </c>
      <c r="B65" s="1">
        <v>55</v>
      </c>
      <c r="C65" s="4">
        <v>0.03</v>
      </c>
      <c r="D65" s="1">
        <v>26</v>
      </c>
      <c r="E65" s="1">
        <v>0</v>
      </c>
    </row>
    <row r="66" spans="1:5" x14ac:dyDescent="0.35">
      <c r="A66" s="1" t="s">
        <v>38</v>
      </c>
      <c r="B66" s="1">
        <v>179</v>
      </c>
      <c r="C66" s="4">
        <v>0.03</v>
      </c>
      <c r="D66" s="1">
        <v>11</v>
      </c>
      <c r="E66" s="1">
        <v>8</v>
      </c>
    </row>
    <row r="67" spans="1:5" x14ac:dyDescent="0.35">
      <c r="A67" s="5" t="s">
        <v>39</v>
      </c>
      <c r="B67" s="1">
        <v>155</v>
      </c>
      <c r="C67" s="4">
        <v>0.03</v>
      </c>
      <c r="D67" s="1">
        <v>11</v>
      </c>
      <c r="E67" s="1">
        <v>8</v>
      </c>
    </row>
    <row r="68" spans="1:5" x14ac:dyDescent="0.35">
      <c r="A68" s="1" t="s">
        <v>40</v>
      </c>
      <c r="B68" s="1">
        <v>149</v>
      </c>
      <c r="C68" s="4">
        <v>0.03</v>
      </c>
      <c r="D68" s="1">
        <v>11</v>
      </c>
      <c r="E68" s="1">
        <v>8</v>
      </c>
    </row>
    <row r="69" spans="1:5" x14ac:dyDescent="0.35">
      <c r="A69" s="1" t="s">
        <v>17</v>
      </c>
      <c r="B69" s="1">
        <v>142</v>
      </c>
      <c r="C69" s="4">
        <v>0.03</v>
      </c>
      <c r="D69" s="1">
        <v>35</v>
      </c>
      <c r="E69" s="1">
        <v>24</v>
      </c>
    </row>
    <row r="70" spans="1:5" x14ac:dyDescent="0.35">
      <c r="A70" s="1" t="s">
        <v>18</v>
      </c>
      <c r="B70" s="1">
        <v>128</v>
      </c>
      <c r="C70" s="4">
        <v>0.03</v>
      </c>
      <c r="D70" s="1">
        <v>35</v>
      </c>
      <c r="E70" s="1">
        <v>24</v>
      </c>
    </row>
    <row r="71" spans="1:5" x14ac:dyDescent="0.35">
      <c r="A71" s="5" t="s">
        <v>19</v>
      </c>
      <c r="B71" s="1">
        <v>127</v>
      </c>
      <c r="C71" s="4">
        <v>0.03</v>
      </c>
      <c r="D71" s="1">
        <v>35</v>
      </c>
      <c r="E71" s="1">
        <v>24</v>
      </c>
    </row>
  </sheetData>
  <sortState xmlns:xlrd2="http://schemas.microsoft.com/office/spreadsheetml/2017/richdata2" ref="A2:E71">
    <sortCondition ref="A1:A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84D0-9D3C-4E9D-BEFC-31385DFF7E0E}">
  <dimension ref="B3:Q44"/>
  <sheetViews>
    <sheetView zoomScale="50" zoomScaleNormal="50" workbookViewId="0">
      <selection activeCell="K4" sqref="K4:L11"/>
    </sheetView>
  </sheetViews>
  <sheetFormatPr defaultRowHeight="14.5" x14ac:dyDescent="0.35"/>
  <cols>
    <col min="3" max="3" width="32.7265625" customWidth="1"/>
    <col min="4" max="4" width="13.6328125" customWidth="1"/>
    <col min="6" max="6" width="15.36328125" customWidth="1"/>
    <col min="8" max="9" width="19" customWidth="1"/>
    <col min="10" max="10" width="16.1796875" customWidth="1"/>
    <col min="11" max="11" width="15.26953125" customWidth="1"/>
    <col min="12" max="12" width="39.08984375" customWidth="1"/>
    <col min="13" max="13" width="15.453125" customWidth="1"/>
    <col min="14" max="14" width="10.36328125" customWidth="1"/>
    <col min="15" max="15" width="35.81640625" customWidth="1"/>
  </cols>
  <sheetData>
    <row r="3" spans="2:17" ht="16" x14ac:dyDescent="0.4">
      <c r="B3" t="s">
        <v>186</v>
      </c>
      <c r="C3" s="3" t="s">
        <v>0</v>
      </c>
      <c r="D3" s="10" t="s">
        <v>143</v>
      </c>
      <c r="E3" s="8" t="s">
        <v>144</v>
      </c>
      <c r="F3" s="8" t="s">
        <v>145</v>
      </c>
      <c r="G3" s="8" t="s">
        <v>146</v>
      </c>
      <c r="H3" s="1" t="s">
        <v>113</v>
      </c>
      <c r="I3" s="1"/>
      <c r="O3" s="1" t="s">
        <v>114</v>
      </c>
      <c r="P3">
        <v>900</v>
      </c>
      <c r="Q3">
        <v>298.14999999999998</v>
      </c>
    </row>
    <row r="4" spans="2:17" x14ac:dyDescent="0.35">
      <c r="B4">
        <v>1</v>
      </c>
      <c r="C4" s="1" t="s">
        <v>147</v>
      </c>
      <c r="D4" s="10">
        <v>900</v>
      </c>
      <c r="E4" s="13">
        <v>298.14999999999998</v>
      </c>
      <c r="F4" s="11">
        <v>111</v>
      </c>
      <c r="G4" s="11">
        <v>3.33</v>
      </c>
      <c r="H4" t="s">
        <v>133</v>
      </c>
      <c r="O4" s="1" t="s">
        <v>114</v>
      </c>
      <c r="P4">
        <v>900</v>
      </c>
      <c r="Q4">
        <v>348.15</v>
      </c>
    </row>
    <row r="5" spans="2:17" x14ac:dyDescent="0.35">
      <c r="B5">
        <v>2</v>
      </c>
      <c r="C5" s="1" t="s">
        <v>147</v>
      </c>
      <c r="D5" s="10">
        <v>900</v>
      </c>
      <c r="E5" s="13">
        <v>348.15</v>
      </c>
      <c r="F5" s="11">
        <v>103</v>
      </c>
      <c r="G5" s="11">
        <v>3.09</v>
      </c>
      <c r="H5" t="s">
        <v>133</v>
      </c>
      <c r="O5" s="1" t="s">
        <v>115</v>
      </c>
      <c r="P5">
        <v>1400</v>
      </c>
      <c r="Q5">
        <v>248.15</v>
      </c>
    </row>
    <row r="6" spans="2:17" x14ac:dyDescent="0.35">
      <c r="B6">
        <v>3</v>
      </c>
      <c r="C6" s="1" t="s">
        <v>148</v>
      </c>
      <c r="D6" s="10">
        <v>1400</v>
      </c>
      <c r="E6" s="13">
        <v>248.15</v>
      </c>
      <c r="F6" s="11">
        <v>107</v>
      </c>
      <c r="G6" s="11">
        <v>3.21</v>
      </c>
      <c r="H6" t="s">
        <v>133</v>
      </c>
      <c r="O6" s="1" t="s">
        <v>115</v>
      </c>
      <c r="P6">
        <v>1400</v>
      </c>
      <c r="Q6">
        <v>298.14999999999998</v>
      </c>
    </row>
    <row r="7" spans="2:17" x14ac:dyDescent="0.35">
      <c r="B7">
        <v>4</v>
      </c>
      <c r="C7" s="1" t="s">
        <v>148</v>
      </c>
      <c r="D7" s="10">
        <v>1400</v>
      </c>
      <c r="E7" s="13">
        <v>298.14999999999998</v>
      </c>
      <c r="F7" s="11">
        <v>101</v>
      </c>
      <c r="G7" s="11">
        <v>3.03</v>
      </c>
      <c r="H7" t="s">
        <v>133</v>
      </c>
      <c r="O7" s="1" t="s">
        <v>116</v>
      </c>
      <c r="P7">
        <v>850</v>
      </c>
      <c r="Q7">
        <v>198.15</v>
      </c>
    </row>
    <row r="8" spans="2:17" x14ac:dyDescent="0.35">
      <c r="B8">
        <v>5</v>
      </c>
      <c r="C8" s="1" t="s">
        <v>149</v>
      </c>
      <c r="D8" s="10">
        <v>850</v>
      </c>
      <c r="E8" s="13">
        <v>198.15</v>
      </c>
      <c r="F8" s="11">
        <v>150</v>
      </c>
      <c r="G8" s="11">
        <v>4.5</v>
      </c>
      <c r="H8" t="s">
        <v>134</v>
      </c>
      <c r="O8" s="1" t="s">
        <v>116</v>
      </c>
      <c r="P8">
        <v>850</v>
      </c>
      <c r="Q8">
        <v>216.75</v>
      </c>
    </row>
    <row r="9" spans="2:17" x14ac:dyDescent="0.35">
      <c r="B9">
        <v>6</v>
      </c>
      <c r="C9" s="1" t="s">
        <v>149</v>
      </c>
      <c r="D9" s="10">
        <v>850</v>
      </c>
      <c r="E9" s="13">
        <v>216.75</v>
      </c>
      <c r="F9" s="11">
        <v>141.5</v>
      </c>
      <c r="G9" s="11">
        <v>4.2450000000000001</v>
      </c>
      <c r="H9" t="s">
        <v>134</v>
      </c>
      <c r="O9" s="1" t="s">
        <v>116</v>
      </c>
      <c r="P9">
        <v>850</v>
      </c>
      <c r="Q9">
        <v>248.15</v>
      </c>
    </row>
    <row r="10" spans="2:17" x14ac:dyDescent="0.35">
      <c r="B10">
        <v>7</v>
      </c>
      <c r="C10" s="1" t="s">
        <v>149</v>
      </c>
      <c r="D10" s="10">
        <v>850</v>
      </c>
      <c r="E10" s="13">
        <v>248.15</v>
      </c>
      <c r="F10" s="11">
        <v>127</v>
      </c>
      <c r="G10" s="11">
        <v>3.81</v>
      </c>
      <c r="H10" t="s">
        <v>134</v>
      </c>
      <c r="O10" s="1" t="s">
        <v>117</v>
      </c>
      <c r="P10">
        <v>900</v>
      </c>
      <c r="Q10">
        <v>298.14999999999998</v>
      </c>
    </row>
    <row r="11" spans="2:17" x14ac:dyDescent="0.35">
      <c r="B11">
        <v>8</v>
      </c>
      <c r="C11" s="1" t="s">
        <v>150</v>
      </c>
      <c r="D11" s="10">
        <v>900</v>
      </c>
      <c r="E11" s="13">
        <v>298.14999999999998</v>
      </c>
      <c r="F11" s="11">
        <v>124</v>
      </c>
      <c r="G11" s="11">
        <v>3.7199999999999998</v>
      </c>
      <c r="H11" t="s">
        <v>135</v>
      </c>
      <c r="O11" s="1" t="s">
        <v>117</v>
      </c>
      <c r="P11">
        <v>900</v>
      </c>
      <c r="Q11">
        <v>348.15</v>
      </c>
    </row>
    <row r="12" spans="2:17" x14ac:dyDescent="0.35">
      <c r="B12">
        <v>9</v>
      </c>
      <c r="C12" s="1" t="s">
        <v>150</v>
      </c>
      <c r="D12" s="10">
        <v>900</v>
      </c>
      <c r="E12" s="13">
        <v>348.15</v>
      </c>
      <c r="F12" s="11">
        <v>113</v>
      </c>
      <c r="G12" s="11">
        <v>3.3899999999999997</v>
      </c>
      <c r="H12" t="s">
        <v>135</v>
      </c>
      <c r="O12" s="1" t="s">
        <v>118</v>
      </c>
      <c r="P12">
        <v>520</v>
      </c>
      <c r="Q12">
        <v>298.14999999999998</v>
      </c>
    </row>
    <row r="13" spans="2:17" x14ac:dyDescent="0.35">
      <c r="B13">
        <v>10</v>
      </c>
      <c r="C13" s="1" t="s">
        <v>151</v>
      </c>
      <c r="D13" s="10">
        <v>520</v>
      </c>
      <c r="E13" s="13">
        <v>298.14999999999998</v>
      </c>
      <c r="F13" s="11">
        <v>118</v>
      </c>
      <c r="G13" s="11">
        <v>3.54</v>
      </c>
      <c r="H13" t="s">
        <v>136</v>
      </c>
      <c r="O13" s="1" t="s">
        <v>118</v>
      </c>
      <c r="P13">
        <v>520</v>
      </c>
      <c r="Q13">
        <v>348.15</v>
      </c>
    </row>
    <row r="14" spans="2:17" x14ac:dyDescent="0.35">
      <c r="B14">
        <v>11</v>
      </c>
      <c r="C14" s="1" t="s">
        <v>151</v>
      </c>
      <c r="D14" s="10">
        <v>520</v>
      </c>
      <c r="E14" s="13">
        <v>348.15</v>
      </c>
      <c r="F14" s="11">
        <v>109</v>
      </c>
      <c r="G14" s="11">
        <v>3.27</v>
      </c>
      <c r="H14" t="s">
        <v>136</v>
      </c>
      <c r="O14" s="1" t="s">
        <v>119</v>
      </c>
      <c r="P14">
        <v>730</v>
      </c>
      <c r="Q14">
        <v>298.14999999999998</v>
      </c>
    </row>
    <row r="15" spans="2:17" x14ac:dyDescent="0.35">
      <c r="B15">
        <v>12</v>
      </c>
      <c r="C15" s="1" t="s">
        <v>152</v>
      </c>
      <c r="D15" s="10">
        <v>730</v>
      </c>
      <c r="E15" s="13">
        <v>298.14999999999998</v>
      </c>
      <c r="F15" s="11">
        <v>126.6</v>
      </c>
      <c r="G15" s="11">
        <v>1.266</v>
      </c>
      <c r="H15" t="s">
        <v>137</v>
      </c>
      <c r="O15" s="1" t="s">
        <v>120</v>
      </c>
      <c r="P15">
        <v>340</v>
      </c>
      <c r="Q15">
        <v>273.14999999999998</v>
      </c>
    </row>
    <row r="16" spans="2:17" x14ac:dyDescent="0.35">
      <c r="B16">
        <v>13</v>
      </c>
      <c r="C16" s="1" t="s">
        <v>153</v>
      </c>
      <c r="D16" s="10">
        <v>340</v>
      </c>
      <c r="E16" s="13">
        <v>273.14999999999998</v>
      </c>
      <c r="F16" s="11">
        <v>136</v>
      </c>
      <c r="G16" s="11">
        <v>4.08</v>
      </c>
      <c r="H16" t="s">
        <v>138</v>
      </c>
      <c r="O16" s="1" t="s">
        <v>120</v>
      </c>
      <c r="P16">
        <v>340</v>
      </c>
      <c r="Q16">
        <v>315.08</v>
      </c>
    </row>
    <row r="17" spans="2:17" x14ac:dyDescent="0.35">
      <c r="B17">
        <v>14</v>
      </c>
      <c r="C17" s="1" t="s">
        <v>153</v>
      </c>
      <c r="D17" s="10">
        <v>340</v>
      </c>
      <c r="E17" s="13">
        <v>315.08</v>
      </c>
      <c r="F17" s="11">
        <v>125</v>
      </c>
      <c r="G17" s="11">
        <v>3.75</v>
      </c>
      <c r="H17" t="s">
        <v>138</v>
      </c>
      <c r="O17" s="1" t="s">
        <v>120</v>
      </c>
      <c r="P17">
        <v>340</v>
      </c>
      <c r="Q17">
        <v>323.14999999999998</v>
      </c>
    </row>
    <row r="18" spans="2:17" x14ac:dyDescent="0.35">
      <c r="B18">
        <v>15</v>
      </c>
      <c r="C18" s="1" t="s">
        <v>153</v>
      </c>
      <c r="D18" s="10">
        <v>340</v>
      </c>
      <c r="E18" s="13">
        <v>323.14999999999998</v>
      </c>
      <c r="F18" s="11">
        <v>123</v>
      </c>
      <c r="G18" s="11">
        <v>3.69</v>
      </c>
      <c r="H18" t="s">
        <v>138</v>
      </c>
      <c r="O18" s="1" t="s">
        <v>121</v>
      </c>
      <c r="P18">
        <v>310</v>
      </c>
      <c r="Q18">
        <v>273.14999999999998</v>
      </c>
    </row>
    <row r="19" spans="2:17" x14ac:dyDescent="0.35">
      <c r="B19">
        <v>16</v>
      </c>
      <c r="C19" s="1" t="s">
        <v>154</v>
      </c>
      <c r="D19" s="10">
        <v>310</v>
      </c>
      <c r="E19" s="13">
        <v>273.14999999999998</v>
      </c>
      <c r="F19" s="11">
        <v>141.5</v>
      </c>
      <c r="G19" s="11">
        <v>4.2450000000000001</v>
      </c>
      <c r="H19" t="s">
        <v>139</v>
      </c>
      <c r="O19" s="1" t="s">
        <v>122</v>
      </c>
      <c r="P19">
        <v>900</v>
      </c>
      <c r="Q19">
        <v>323.14999999999998</v>
      </c>
    </row>
    <row r="20" spans="2:17" x14ac:dyDescent="0.35">
      <c r="B20">
        <v>17</v>
      </c>
      <c r="C20" s="1" t="s">
        <v>155</v>
      </c>
      <c r="D20" s="10">
        <v>900</v>
      </c>
      <c r="E20" s="13">
        <v>323.14999999999998</v>
      </c>
      <c r="F20" s="11">
        <v>83</v>
      </c>
      <c r="G20" s="11">
        <v>2.4899999999999998</v>
      </c>
      <c r="H20" t="s">
        <v>133</v>
      </c>
      <c r="O20" s="1" t="s">
        <v>123</v>
      </c>
      <c r="P20">
        <v>550</v>
      </c>
      <c r="Q20">
        <v>258.88</v>
      </c>
    </row>
    <row r="21" spans="2:17" x14ac:dyDescent="0.35">
      <c r="B21">
        <v>18</v>
      </c>
      <c r="C21" s="1" t="s">
        <v>156</v>
      </c>
      <c r="D21" s="10">
        <v>550</v>
      </c>
      <c r="E21" s="13">
        <v>258.88</v>
      </c>
      <c r="F21" s="11">
        <v>133</v>
      </c>
      <c r="G21" s="11">
        <v>5.5860000000000003</v>
      </c>
      <c r="H21" t="s">
        <v>140</v>
      </c>
      <c r="O21" s="1" t="s">
        <v>123</v>
      </c>
      <c r="P21">
        <v>550</v>
      </c>
      <c r="Q21">
        <v>273.14999999999998</v>
      </c>
    </row>
    <row r="22" spans="2:17" x14ac:dyDescent="0.35">
      <c r="B22">
        <v>19</v>
      </c>
      <c r="C22" s="1" t="s">
        <v>156</v>
      </c>
      <c r="D22" s="10">
        <v>550</v>
      </c>
      <c r="E22" s="13">
        <v>273.14999999999998</v>
      </c>
      <c r="F22" s="11">
        <v>128</v>
      </c>
      <c r="G22" s="11">
        <v>5.3760000000000003</v>
      </c>
      <c r="H22" t="s">
        <v>140</v>
      </c>
      <c r="O22" s="1" t="s">
        <v>123</v>
      </c>
      <c r="P22">
        <v>550</v>
      </c>
      <c r="Q22">
        <v>323.14999999999998</v>
      </c>
    </row>
    <row r="23" spans="2:17" x14ac:dyDescent="0.35">
      <c r="B23">
        <v>20</v>
      </c>
      <c r="C23" s="1" t="s">
        <v>156</v>
      </c>
      <c r="D23" s="10">
        <v>550</v>
      </c>
      <c r="E23" s="13">
        <v>323.14999999999998</v>
      </c>
      <c r="F23" s="11">
        <v>113</v>
      </c>
      <c r="G23" s="11">
        <v>4.7460000000000004</v>
      </c>
      <c r="H23" t="s">
        <v>140</v>
      </c>
      <c r="O23" s="1" t="s">
        <v>124</v>
      </c>
      <c r="P23">
        <v>380</v>
      </c>
      <c r="Q23">
        <v>273.14999999999998</v>
      </c>
    </row>
    <row r="24" spans="2:17" x14ac:dyDescent="0.35">
      <c r="B24">
        <v>21</v>
      </c>
      <c r="C24" s="1" t="s">
        <v>157</v>
      </c>
      <c r="D24" s="10">
        <v>380</v>
      </c>
      <c r="E24" s="13">
        <v>273.14999999999998</v>
      </c>
      <c r="F24" s="11">
        <v>134</v>
      </c>
      <c r="G24" s="11">
        <v>4.0199999999999996</v>
      </c>
      <c r="H24" t="s">
        <v>138</v>
      </c>
      <c r="O24" s="1" t="s">
        <v>124</v>
      </c>
      <c r="P24">
        <v>380</v>
      </c>
      <c r="Q24">
        <v>303.45</v>
      </c>
    </row>
    <row r="25" spans="2:17" x14ac:dyDescent="0.35">
      <c r="B25">
        <v>22</v>
      </c>
      <c r="C25" s="1" t="s">
        <v>157</v>
      </c>
      <c r="D25" s="10">
        <v>380</v>
      </c>
      <c r="E25" s="13">
        <v>303.45</v>
      </c>
      <c r="F25" s="11">
        <v>125</v>
      </c>
      <c r="G25" s="11">
        <v>3.75</v>
      </c>
      <c r="H25" t="s">
        <v>138</v>
      </c>
      <c r="O25" s="1" t="s">
        <v>124</v>
      </c>
      <c r="P25">
        <v>380</v>
      </c>
      <c r="Q25">
        <v>323.14999999999998</v>
      </c>
    </row>
    <row r="26" spans="2:17" x14ac:dyDescent="0.35">
      <c r="B26">
        <v>23</v>
      </c>
      <c r="C26" s="1" t="s">
        <v>157</v>
      </c>
      <c r="D26" s="10">
        <v>380</v>
      </c>
      <c r="E26" s="13">
        <v>323.14999999999998</v>
      </c>
      <c r="F26" s="11">
        <v>120</v>
      </c>
      <c r="G26" s="11">
        <v>3.5999999999999996</v>
      </c>
      <c r="H26" t="s">
        <v>138</v>
      </c>
      <c r="O26" s="1" t="s">
        <v>125</v>
      </c>
      <c r="P26">
        <v>430</v>
      </c>
      <c r="Q26">
        <v>273.14999999999998</v>
      </c>
    </row>
    <row r="27" spans="2:17" x14ac:dyDescent="0.35">
      <c r="B27">
        <v>24</v>
      </c>
      <c r="C27" s="1" t="s">
        <v>158</v>
      </c>
      <c r="D27" s="10">
        <v>430</v>
      </c>
      <c r="E27" s="13">
        <v>273.14999999999998</v>
      </c>
      <c r="F27" s="11">
        <v>133</v>
      </c>
      <c r="G27" s="11">
        <v>3.9899999999999998</v>
      </c>
      <c r="H27" t="s">
        <v>138</v>
      </c>
      <c r="O27" s="1" t="s">
        <v>125</v>
      </c>
      <c r="P27">
        <v>430</v>
      </c>
      <c r="Q27">
        <v>290.04000000000002</v>
      </c>
    </row>
    <row r="28" spans="2:17" x14ac:dyDescent="0.35">
      <c r="B28">
        <v>25</v>
      </c>
      <c r="C28" s="1" t="s">
        <v>158</v>
      </c>
      <c r="D28" s="10">
        <v>430</v>
      </c>
      <c r="E28" s="13">
        <v>290.04000000000002</v>
      </c>
      <c r="F28" s="11">
        <v>127</v>
      </c>
      <c r="G28" s="11">
        <v>3.81</v>
      </c>
      <c r="H28" t="s">
        <v>138</v>
      </c>
      <c r="O28" s="1" t="s">
        <v>125</v>
      </c>
      <c r="P28">
        <v>430</v>
      </c>
      <c r="Q28">
        <v>323.14999999999998</v>
      </c>
    </row>
    <row r="29" spans="2:17" x14ac:dyDescent="0.35">
      <c r="B29">
        <v>26</v>
      </c>
      <c r="C29" s="1" t="s">
        <v>158</v>
      </c>
      <c r="D29" s="10">
        <v>430</v>
      </c>
      <c r="E29" s="13">
        <v>323.14999999999998</v>
      </c>
      <c r="F29" s="11">
        <v>117</v>
      </c>
      <c r="G29" s="11">
        <v>3.51</v>
      </c>
      <c r="H29" t="s">
        <v>138</v>
      </c>
      <c r="O29" s="1" t="s">
        <v>126</v>
      </c>
      <c r="P29">
        <v>550</v>
      </c>
      <c r="Q29">
        <v>348.15</v>
      </c>
    </row>
    <row r="30" spans="2:17" x14ac:dyDescent="0.35">
      <c r="B30">
        <v>27</v>
      </c>
      <c r="C30" s="1" t="s">
        <v>165</v>
      </c>
      <c r="D30" s="10">
        <v>550</v>
      </c>
      <c r="E30" s="13">
        <v>348.15</v>
      </c>
      <c r="F30" s="11">
        <v>101</v>
      </c>
      <c r="G30" s="11">
        <v>3.03</v>
      </c>
      <c r="H30" t="s">
        <v>133</v>
      </c>
      <c r="O30" s="1" t="s">
        <v>127</v>
      </c>
      <c r="P30">
        <v>420</v>
      </c>
      <c r="Q30">
        <v>298.14999999999998</v>
      </c>
    </row>
    <row r="31" spans="2:17" x14ac:dyDescent="0.35">
      <c r="B31">
        <v>28</v>
      </c>
      <c r="C31" s="1" t="s">
        <v>166</v>
      </c>
      <c r="D31" s="10">
        <v>420</v>
      </c>
      <c r="E31" s="13">
        <v>298.14999999999998</v>
      </c>
      <c r="F31" s="11">
        <v>127</v>
      </c>
      <c r="G31" s="11">
        <v>3.81</v>
      </c>
      <c r="H31" t="s">
        <v>133</v>
      </c>
      <c r="O31" s="1" t="s">
        <v>127</v>
      </c>
      <c r="P31">
        <v>420</v>
      </c>
      <c r="Q31">
        <v>348.15</v>
      </c>
    </row>
    <row r="32" spans="2:17" x14ac:dyDescent="0.35">
      <c r="B32">
        <v>29</v>
      </c>
      <c r="C32" s="1" t="s">
        <v>166</v>
      </c>
      <c r="D32" s="10">
        <v>420</v>
      </c>
      <c r="E32" s="13">
        <v>348.15</v>
      </c>
      <c r="F32" s="11">
        <v>121</v>
      </c>
      <c r="G32" s="11">
        <v>3.63</v>
      </c>
      <c r="H32" t="s">
        <v>133</v>
      </c>
      <c r="O32" s="1" t="s">
        <v>128</v>
      </c>
      <c r="P32">
        <v>700</v>
      </c>
      <c r="Q32">
        <v>239.6</v>
      </c>
    </row>
    <row r="33" spans="2:17" x14ac:dyDescent="0.35">
      <c r="B33">
        <v>30</v>
      </c>
      <c r="C33" s="1" t="s">
        <v>160</v>
      </c>
      <c r="D33" s="10">
        <v>700</v>
      </c>
      <c r="E33" s="13">
        <v>239.6</v>
      </c>
      <c r="F33" s="11">
        <v>134</v>
      </c>
      <c r="G33" s="11">
        <v>5.36</v>
      </c>
      <c r="H33" t="s">
        <v>137</v>
      </c>
      <c r="O33" s="1" t="s">
        <v>128</v>
      </c>
      <c r="P33">
        <v>700</v>
      </c>
      <c r="Q33">
        <v>248.15</v>
      </c>
    </row>
    <row r="34" spans="2:17" x14ac:dyDescent="0.35">
      <c r="B34">
        <v>31</v>
      </c>
      <c r="C34" s="1" t="s">
        <v>160</v>
      </c>
      <c r="D34" s="10">
        <v>700</v>
      </c>
      <c r="E34" s="13">
        <v>248.15</v>
      </c>
      <c r="F34" s="11">
        <v>131</v>
      </c>
      <c r="G34" s="11">
        <v>5.24</v>
      </c>
      <c r="H34" t="s">
        <v>137</v>
      </c>
      <c r="O34" s="1" t="s">
        <v>128</v>
      </c>
      <c r="P34">
        <v>700</v>
      </c>
      <c r="Q34">
        <v>298.14999999999998</v>
      </c>
    </row>
    <row r="35" spans="2:17" x14ac:dyDescent="0.35">
      <c r="B35">
        <v>32</v>
      </c>
      <c r="C35" s="1" t="s">
        <v>160</v>
      </c>
      <c r="D35" s="10">
        <v>700</v>
      </c>
      <c r="E35" s="13">
        <v>298.14999999999998</v>
      </c>
      <c r="F35" s="11">
        <v>112</v>
      </c>
      <c r="G35" s="11">
        <v>4.4800000000000004</v>
      </c>
      <c r="H35" t="s">
        <v>137</v>
      </c>
      <c r="O35" s="1" t="s">
        <v>129</v>
      </c>
      <c r="P35">
        <v>470</v>
      </c>
      <c r="Q35">
        <v>348.15</v>
      </c>
    </row>
    <row r="36" spans="2:17" x14ac:dyDescent="0.35">
      <c r="B36">
        <v>33</v>
      </c>
      <c r="C36" s="1" t="s">
        <v>161</v>
      </c>
      <c r="D36" s="10">
        <v>470</v>
      </c>
      <c r="E36" s="13">
        <v>348.15</v>
      </c>
      <c r="F36" s="11">
        <v>53</v>
      </c>
      <c r="G36" s="11">
        <v>1.5899999999999999</v>
      </c>
      <c r="H36" t="s">
        <v>133</v>
      </c>
      <c r="O36" s="1" t="s">
        <v>130</v>
      </c>
      <c r="P36">
        <v>420</v>
      </c>
      <c r="Q36">
        <v>298.14999999999998</v>
      </c>
    </row>
    <row r="37" spans="2:17" x14ac:dyDescent="0.35">
      <c r="B37">
        <v>34</v>
      </c>
      <c r="C37" s="1" t="s">
        <v>162</v>
      </c>
      <c r="D37" s="10">
        <v>420</v>
      </c>
      <c r="E37" s="13">
        <v>298.14999999999998</v>
      </c>
      <c r="F37" s="11">
        <v>62</v>
      </c>
      <c r="G37" s="11">
        <v>1.8599999999999999</v>
      </c>
      <c r="H37" t="s">
        <v>133</v>
      </c>
      <c r="O37" s="1" t="s">
        <v>130</v>
      </c>
      <c r="P37">
        <v>420</v>
      </c>
      <c r="Q37">
        <v>348.15</v>
      </c>
    </row>
    <row r="38" spans="2:17" x14ac:dyDescent="0.35">
      <c r="B38">
        <v>35</v>
      </c>
      <c r="C38" s="1" t="s">
        <v>162</v>
      </c>
      <c r="D38" s="10">
        <v>420</v>
      </c>
      <c r="E38" s="13">
        <v>348.15</v>
      </c>
      <c r="F38" s="11">
        <v>55</v>
      </c>
      <c r="G38" s="11">
        <v>1.65</v>
      </c>
      <c r="H38" t="s">
        <v>133</v>
      </c>
      <c r="O38" s="1" t="s">
        <v>131</v>
      </c>
      <c r="P38">
        <v>1000</v>
      </c>
      <c r="Q38">
        <v>148.15</v>
      </c>
    </row>
    <row r="39" spans="2:17" x14ac:dyDescent="0.35">
      <c r="B39">
        <v>36</v>
      </c>
      <c r="C39" s="1" t="s">
        <v>163</v>
      </c>
      <c r="D39" s="10">
        <v>1000</v>
      </c>
      <c r="E39" s="13">
        <v>148.15</v>
      </c>
      <c r="F39" s="11">
        <v>179</v>
      </c>
      <c r="G39" s="11">
        <v>5.37</v>
      </c>
      <c r="H39" t="s">
        <v>141</v>
      </c>
      <c r="O39" s="1" t="s">
        <v>131</v>
      </c>
      <c r="P39">
        <v>1000</v>
      </c>
      <c r="Q39">
        <v>188.65</v>
      </c>
    </row>
    <row r="40" spans="2:17" x14ac:dyDescent="0.35">
      <c r="B40">
        <v>37</v>
      </c>
      <c r="C40" s="1" t="s">
        <v>163</v>
      </c>
      <c r="D40" s="10">
        <v>1000</v>
      </c>
      <c r="E40" s="13">
        <v>188.65</v>
      </c>
      <c r="F40" s="11">
        <v>155</v>
      </c>
      <c r="G40" s="11">
        <v>4.6499999999999995</v>
      </c>
      <c r="H40" t="s">
        <v>141</v>
      </c>
      <c r="O40" s="1" t="s">
        <v>131</v>
      </c>
      <c r="P40">
        <v>1000</v>
      </c>
      <c r="Q40">
        <v>198.15</v>
      </c>
    </row>
    <row r="41" spans="2:17" x14ac:dyDescent="0.35">
      <c r="B41">
        <v>38</v>
      </c>
      <c r="C41" s="1" t="s">
        <v>163</v>
      </c>
      <c r="D41" s="10">
        <v>1000</v>
      </c>
      <c r="E41" s="13">
        <v>198.15</v>
      </c>
      <c r="F41" s="11">
        <v>149</v>
      </c>
      <c r="G41" s="11">
        <v>4.47</v>
      </c>
      <c r="H41" t="s">
        <v>141</v>
      </c>
      <c r="O41" s="1" t="s">
        <v>132</v>
      </c>
      <c r="P41">
        <v>330</v>
      </c>
      <c r="Q41">
        <v>273.14999999999998</v>
      </c>
    </row>
    <row r="42" spans="2:17" x14ac:dyDescent="0.35">
      <c r="B42">
        <v>39</v>
      </c>
      <c r="C42" s="1" t="s">
        <v>164</v>
      </c>
      <c r="D42" s="10">
        <v>330</v>
      </c>
      <c r="E42" s="13">
        <v>273.14999999999998</v>
      </c>
      <c r="F42" s="11">
        <v>142</v>
      </c>
      <c r="G42" s="11">
        <v>4.26</v>
      </c>
      <c r="H42" t="s">
        <v>142</v>
      </c>
      <c r="O42" s="1" t="s">
        <v>132</v>
      </c>
      <c r="P42">
        <v>330</v>
      </c>
      <c r="Q42">
        <v>323.14999999999998</v>
      </c>
    </row>
    <row r="43" spans="2:17" x14ac:dyDescent="0.35">
      <c r="B43">
        <v>40</v>
      </c>
      <c r="C43" s="1" t="s">
        <v>164</v>
      </c>
      <c r="D43" s="10">
        <v>330</v>
      </c>
      <c r="E43" s="13">
        <v>323.14999999999998</v>
      </c>
      <c r="F43" s="11">
        <v>128</v>
      </c>
      <c r="G43" s="11">
        <v>3.84</v>
      </c>
      <c r="H43" t="s">
        <v>142</v>
      </c>
      <c r="O43" s="1" t="s">
        <v>132</v>
      </c>
      <c r="P43">
        <v>330</v>
      </c>
      <c r="Q43">
        <v>325.89</v>
      </c>
    </row>
    <row r="44" spans="2:17" x14ac:dyDescent="0.35">
      <c r="B44">
        <v>41</v>
      </c>
      <c r="C44" s="1" t="s">
        <v>164</v>
      </c>
      <c r="D44" s="10">
        <v>330</v>
      </c>
      <c r="E44" s="13">
        <v>325.89</v>
      </c>
      <c r="F44" s="11">
        <v>127</v>
      </c>
      <c r="G44" s="11">
        <v>3.81</v>
      </c>
      <c r="H44" t="s">
        <v>142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ECD8-39FC-4F28-965F-B6B96D80232D}">
  <dimension ref="B4:I15"/>
  <sheetViews>
    <sheetView workbookViewId="0">
      <selection activeCell="G20" sqref="G20"/>
    </sheetView>
  </sheetViews>
  <sheetFormatPr defaultRowHeight="14.5" x14ac:dyDescent="0.35"/>
  <cols>
    <col min="2" max="2" width="8.7265625" customWidth="1"/>
    <col min="3" max="3" width="22.26953125" customWidth="1"/>
    <col min="8" max="8" width="24.08984375" customWidth="1"/>
    <col min="9" max="9" width="20.7265625" customWidth="1"/>
  </cols>
  <sheetData>
    <row r="4" spans="2:9" ht="16" x14ac:dyDescent="0.4">
      <c r="B4" t="s">
        <v>186</v>
      </c>
      <c r="C4" s="3" t="s">
        <v>0</v>
      </c>
      <c r="D4" s="10" t="s">
        <v>143</v>
      </c>
      <c r="E4" s="8" t="s">
        <v>144</v>
      </c>
      <c r="F4" s="8" t="s">
        <v>145</v>
      </c>
      <c r="G4" s="8" t="s">
        <v>146</v>
      </c>
      <c r="H4" s="1" t="s">
        <v>113</v>
      </c>
    </row>
    <row r="5" spans="2:9" x14ac:dyDescent="0.35">
      <c r="B5">
        <v>1</v>
      </c>
      <c r="C5" s="1" t="s">
        <v>167</v>
      </c>
      <c r="D5" s="10">
        <v>600</v>
      </c>
      <c r="E5" s="13">
        <v>298.14999999999998</v>
      </c>
      <c r="F5" s="11">
        <v>118.1</v>
      </c>
      <c r="G5" s="11">
        <v>1.181</v>
      </c>
      <c r="H5" t="s">
        <v>192</v>
      </c>
      <c r="I5" t="s">
        <v>192</v>
      </c>
    </row>
    <row r="6" spans="2:9" x14ac:dyDescent="0.35">
      <c r="B6">
        <v>2</v>
      </c>
      <c r="C6" s="1" t="s">
        <v>167</v>
      </c>
      <c r="D6" s="10">
        <v>600</v>
      </c>
      <c r="E6" s="13">
        <v>348.15</v>
      </c>
      <c r="F6" s="11">
        <v>106</v>
      </c>
      <c r="G6" s="11">
        <v>3.1799999999999997</v>
      </c>
      <c r="H6" t="s">
        <v>192</v>
      </c>
      <c r="I6" t="s">
        <v>192</v>
      </c>
    </row>
    <row r="7" spans="2:9" x14ac:dyDescent="0.35">
      <c r="B7">
        <v>3</v>
      </c>
      <c r="C7" s="1" t="s">
        <v>154</v>
      </c>
      <c r="D7" s="10">
        <v>310</v>
      </c>
      <c r="E7" s="13">
        <v>323.14999999999998</v>
      </c>
      <c r="F7" s="11">
        <v>129.5</v>
      </c>
      <c r="G7" s="11">
        <v>3.8849999999999998</v>
      </c>
      <c r="H7" t="s">
        <v>193</v>
      </c>
      <c r="I7" t="s">
        <v>193</v>
      </c>
    </row>
    <row r="8" spans="2:9" x14ac:dyDescent="0.35">
      <c r="B8">
        <v>4</v>
      </c>
      <c r="C8" s="1" t="s">
        <v>154</v>
      </c>
      <c r="D8" s="10">
        <v>310</v>
      </c>
      <c r="E8" s="13">
        <v>335.68</v>
      </c>
      <c r="F8" s="11">
        <v>127</v>
      </c>
      <c r="G8" s="11">
        <v>3.81</v>
      </c>
      <c r="H8" t="s">
        <v>193</v>
      </c>
      <c r="I8" t="s">
        <v>193</v>
      </c>
    </row>
    <row r="9" spans="2:9" x14ac:dyDescent="0.35">
      <c r="B9">
        <v>5</v>
      </c>
      <c r="C9" s="1" t="s">
        <v>168</v>
      </c>
      <c r="D9" s="10">
        <v>900</v>
      </c>
      <c r="E9" s="13">
        <v>298.14999999999998</v>
      </c>
      <c r="F9" s="11">
        <v>124</v>
      </c>
      <c r="G9" s="11">
        <v>3.7199999999999998</v>
      </c>
      <c r="H9" t="s">
        <v>194</v>
      </c>
      <c r="I9" t="s">
        <v>194</v>
      </c>
    </row>
    <row r="10" spans="2:9" x14ac:dyDescent="0.35">
      <c r="B10">
        <v>6</v>
      </c>
      <c r="C10" s="1" t="s">
        <v>168</v>
      </c>
      <c r="D10" s="10">
        <v>900</v>
      </c>
      <c r="E10" s="13">
        <v>348.15</v>
      </c>
      <c r="F10" s="11">
        <v>109</v>
      </c>
      <c r="G10" s="11">
        <v>3.27</v>
      </c>
      <c r="H10" t="s">
        <v>194</v>
      </c>
      <c r="I10" t="s">
        <v>194</v>
      </c>
    </row>
    <row r="11" spans="2:9" x14ac:dyDescent="0.35">
      <c r="B11">
        <v>7</v>
      </c>
      <c r="C11" s="1" t="s">
        <v>169</v>
      </c>
      <c r="D11" s="10">
        <v>490</v>
      </c>
      <c r="E11" s="13">
        <v>273.14999999999998</v>
      </c>
      <c r="F11" s="11">
        <v>129.80000000000001</v>
      </c>
      <c r="G11" s="11">
        <v>5.1920000000000002</v>
      </c>
      <c r="H11" t="s">
        <v>195</v>
      </c>
      <c r="I11" t="s">
        <v>195</v>
      </c>
    </row>
    <row r="12" spans="2:9" x14ac:dyDescent="0.35">
      <c r="B12">
        <v>8</v>
      </c>
      <c r="C12" s="1" t="s">
        <v>169</v>
      </c>
      <c r="D12" s="10">
        <v>490</v>
      </c>
      <c r="E12" s="13">
        <v>275.39999999999998</v>
      </c>
      <c r="F12" s="11">
        <v>129</v>
      </c>
      <c r="G12" s="11">
        <v>5.16</v>
      </c>
      <c r="H12" t="s">
        <v>195</v>
      </c>
      <c r="I12" t="s">
        <v>195</v>
      </c>
    </row>
    <row r="13" spans="2:9" x14ac:dyDescent="0.35">
      <c r="B13">
        <v>9</v>
      </c>
      <c r="C13" s="1" t="s">
        <v>169</v>
      </c>
      <c r="D13" s="10">
        <v>490</v>
      </c>
      <c r="E13" s="13">
        <v>323.14999999999998</v>
      </c>
      <c r="F13" s="11">
        <v>114.7</v>
      </c>
      <c r="G13" s="11">
        <v>4.5880000000000001</v>
      </c>
      <c r="H13" t="s">
        <v>195</v>
      </c>
      <c r="I13" t="s">
        <v>195</v>
      </c>
    </row>
    <row r="14" spans="2:9" x14ac:dyDescent="0.35">
      <c r="B14">
        <v>10</v>
      </c>
      <c r="C14" s="1" t="s">
        <v>159</v>
      </c>
      <c r="D14" s="10">
        <v>550</v>
      </c>
      <c r="E14" s="13">
        <v>298.14999999999998</v>
      </c>
      <c r="F14" s="11">
        <v>108</v>
      </c>
      <c r="G14" s="11">
        <v>3.2399999999999998</v>
      </c>
      <c r="H14" t="s">
        <v>196</v>
      </c>
      <c r="I14" t="s">
        <v>196</v>
      </c>
    </row>
    <row r="15" spans="2:9" x14ac:dyDescent="0.35">
      <c r="B15">
        <v>11</v>
      </c>
      <c r="C15" s="1" t="s">
        <v>170</v>
      </c>
      <c r="D15" s="10">
        <v>550</v>
      </c>
      <c r="E15" s="13">
        <v>298.14999999999998</v>
      </c>
      <c r="F15" s="11">
        <v>64</v>
      </c>
      <c r="G15" s="11">
        <v>1.92</v>
      </c>
      <c r="H15" t="s">
        <v>196</v>
      </c>
      <c r="I1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95F1-C614-4C49-BD1E-4BB7A71C8DD5}">
  <dimension ref="B3:H19"/>
  <sheetViews>
    <sheetView workbookViewId="0">
      <selection activeCell="I16" sqref="I16"/>
    </sheetView>
  </sheetViews>
  <sheetFormatPr defaultRowHeight="14.5" x14ac:dyDescent="0.35"/>
  <cols>
    <col min="3" max="3" width="26.26953125" customWidth="1"/>
    <col min="8" max="8" width="26.36328125" customWidth="1"/>
    <col min="9" max="9" width="29" customWidth="1"/>
  </cols>
  <sheetData>
    <row r="3" spans="2:8" ht="16" x14ac:dyDescent="0.4">
      <c r="B3" t="s">
        <v>186</v>
      </c>
      <c r="C3" s="3" t="s">
        <v>0</v>
      </c>
      <c r="D3" s="10" t="s">
        <v>143</v>
      </c>
      <c r="E3" s="8" t="s">
        <v>144</v>
      </c>
      <c r="F3" s="8" t="s">
        <v>145</v>
      </c>
      <c r="G3" s="8" t="s">
        <v>146</v>
      </c>
      <c r="H3" s="1" t="s">
        <v>113</v>
      </c>
    </row>
    <row r="4" spans="2:8" x14ac:dyDescent="0.35">
      <c r="B4">
        <v>1</v>
      </c>
      <c r="C4" s="1" t="s">
        <v>171</v>
      </c>
      <c r="D4" s="10">
        <v>460</v>
      </c>
      <c r="E4" s="13">
        <v>348.15</v>
      </c>
      <c r="F4" s="11">
        <v>119</v>
      </c>
      <c r="G4" s="11">
        <v>3.57</v>
      </c>
      <c r="H4" t="s">
        <v>194</v>
      </c>
    </row>
    <row r="5" spans="2:8" x14ac:dyDescent="0.35">
      <c r="B5">
        <v>2</v>
      </c>
      <c r="C5" s="1" t="s">
        <v>172</v>
      </c>
      <c r="D5" s="10">
        <v>470</v>
      </c>
      <c r="E5" s="13">
        <v>298.14999999999998</v>
      </c>
      <c r="F5" s="11">
        <v>139</v>
      </c>
      <c r="G5" s="11">
        <v>4.17</v>
      </c>
      <c r="H5" t="s">
        <v>196</v>
      </c>
    </row>
    <row r="6" spans="2:8" x14ac:dyDescent="0.35">
      <c r="B6">
        <v>3</v>
      </c>
      <c r="C6" s="1" t="s">
        <v>172</v>
      </c>
      <c r="D6" s="10">
        <v>470</v>
      </c>
      <c r="E6" s="13">
        <v>348.15</v>
      </c>
      <c r="F6" s="11">
        <v>126</v>
      </c>
      <c r="G6" s="11">
        <v>3.78</v>
      </c>
      <c r="H6" t="s">
        <v>196</v>
      </c>
    </row>
    <row r="7" spans="2:8" x14ac:dyDescent="0.35">
      <c r="B7">
        <v>4</v>
      </c>
      <c r="C7" s="1" t="s">
        <v>173</v>
      </c>
      <c r="D7" s="10">
        <v>340</v>
      </c>
      <c r="E7" s="13">
        <v>348.15</v>
      </c>
      <c r="F7" s="11">
        <v>145</v>
      </c>
      <c r="G7" s="11">
        <v>4.3499999999999996</v>
      </c>
      <c r="H7" t="s">
        <v>194</v>
      </c>
    </row>
    <row r="8" spans="2:8" x14ac:dyDescent="0.35">
      <c r="B8">
        <v>5</v>
      </c>
      <c r="C8" s="1" t="s">
        <v>174</v>
      </c>
      <c r="D8" s="10">
        <v>310</v>
      </c>
      <c r="E8" s="13">
        <v>298.14999999999998</v>
      </c>
      <c r="F8" s="11">
        <v>148</v>
      </c>
      <c r="G8" s="11">
        <v>4.4399999999999995</v>
      </c>
      <c r="H8" t="s">
        <v>194</v>
      </c>
    </row>
    <row r="9" spans="2:8" x14ac:dyDescent="0.35">
      <c r="B9">
        <v>6</v>
      </c>
      <c r="C9" s="1" t="s">
        <v>174</v>
      </c>
      <c r="D9" s="10">
        <v>310</v>
      </c>
      <c r="E9" s="13">
        <v>348.15</v>
      </c>
      <c r="F9" s="11">
        <v>128</v>
      </c>
      <c r="G9" s="11">
        <v>3.84</v>
      </c>
      <c r="H9" t="s">
        <v>194</v>
      </c>
    </row>
    <row r="10" spans="2:8" x14ac:dyDescent="0.35">
      <c r="B10">
        <v>7</v>
      </c>
      <c r="C10" s="1" t="s">
        <v>175</v>
      </c>
      <c r="D10" s="10">
        <v>330</v>
      </c>
      <c r="E10" s="13">
        <v>298.14999999999998</v>
      </c>
      <c r="F10" s="11">
        <v>135</v>
      </c>
      <c r="G10" s="11">
        <v>4.05</v>
      </c>
      <c r="H10" t="s">
        <v>194</v>
      </c>
    </row>
    <row r="11" spans="2:8" x14ac:dyDescent="0.35">
      <c r="B11">
        <v>8</v>
      </c>
      <c r="C11" s="1" t="s">
        <v>175</v>
      </c>
      <c r="D11" s="10">
        <v>330</v>
      </c>
      <c r="E11" s="13">
        <v>348.15</v>
      </c>
      <c r="F11" s="11">
        <v>128</v>
      </c>
      <c r="G11" s="11">
        <v>3.84</v>
      </c>
      <c r="H11" t="s">
        <v>194</v>
      </c>
    </row>
    <row r="12" spans="2:8" x14ac:dyDescent="0.35">
      <c r="B12">
        <v>9</v>
      </c>
      <c r="C12" s="1" t="s">
        <v>176</v>
      </c>
      <c r="D12" s="10">
        <v>360</v>
      </c>
      <c r="E12" s="13">
        <v>298.14999999999998</v>
      </c>
      <c r="F12" s="11">
        <v>129</v>
      </c>
      <c r="G12" s="11">
        <v>3.8699999999999997</v>
      </c>
      <c r="H12" t="s">
        <v>194</v>
      </c>
    </row>
    <row r="13" spans="2:8" x14ac:dyDescent="0.35">
      <c r="B13">
        <v>10</v>
      </c>
      <c r="C13" s="1" t="s">
        <v>176</v>
      </c>
      <c r="D13" s="10">
        <v>360</v>
      </c>
      <c r="E13" s="13">
        <v>348.15</v>
      </c>
      <c r="F13" s="11">
        <v>123</v>
      </c>
      <c r="G13" s="11">
        <v>3.69</v>
      </c>
      <c r="H13" t="s">
        <v>194</v>
      </c>
    </row>
    <row r="14" spans="2:8" x14ac:dyDescent="0.35">
      <c r="B14">
        <v>11</v>
      </c>
      <c r="C14" s="1" t="s">
        <v>177</v>
      </c>
      <c r="D14" s="10">
        <v>730</v>
      </c>
      <c r="E14" s="13">
        <v>298.14999999999998</v>
      </c>
      <c r="F14" s="15">
        <v>147.6</v>
      </c>
      <c r="G14" s="11">
        <v>1.476</v>
      </c>
      <c r="H14" t="s">
        <v>197</v>
      </c>
    </row>
    <row r="15" spans="2:8" x14ac:dyDescent="0.35">
      <c r="B15">
        <v>12</v>
      </c>
      <c r="C15" s="1" t="s">
        <v>177</v>
      </c>
      <c r="D15" s="10">
        <v>730</v>
      </c>
      <c r="E15" s="13">
        <v>348.15</v>
      </c>
      <c r="F15" s="11">
        <v>142.30000000000001</v>
      </c>
      <c r="G15" s="11">
        <v>1.423</v>
      </c>
      <c r="H15" t="s">
        <v>197</v>
      </c>
    </row>
    <row r="16" spans="2:8" x14ac:dyDescent="0.35">
      <c r="B16">
        <v>13</v>
      </c>
      <c r="C16" s="1" t="s">
        <v>178</v>
      </c>
      <c r="D16" s="10">
        <v>330</v>
      </c>
      <c r="E16" s="13">
        <v>298.14999999999998</v>
      </c>
      <c r="F16" s="11">
        <v>162</v>
      </c>
      <c r="G16" s="11">
        <v>4.8599999999999994</v>
      </c>
      <c r="H16" t="s">
        <v>196</v>
      </c>
    </row>
    <row r="17" spans="2:8" x14ac:dyDescent="0.35">
      <c r="B17">
        <v>14</v>
      </c>
      <c r="C17" s="1" t="s">
        <v>178</v>
      </c>
      <c r="D17" s="10">
        <v>330</v>
      </c>
      <c r="E17" s="13">
        <v>348.15</v>
      </c>
      <c r="F17" s="11">
        <v>155</v>
      </c>
      <c r="G17" s="11">
        <v>4.6499999999999995</v>
      </c>
      <c r="H17" t="s">
        <v>196</v>
      </c>
    </row>
    <row r="18" spans="2:8" x14ac:dyDescent="0.35">
      <c r="B18">
        <v>15</v>
      </c>
      <c r="C18" s="1" t="s">
        <v>179</v>
      </c>
      <c r="D18" s="10">
        <v>360</v>
      </c>
      <c r="E18" s="13">
        <v>298.14999999999998</v>
      </c>
      <c r="F18" s="11">
        <v>129</v>
      </c>
      <c r="G18" s="11">
        <v>3.8699999999999997</v>
      </c>
      <c r="H18" t="s">
        <v>194</v>
      </c>
    </row>
    <row r="19" spans="2:8" x14ac:dyDescent="0.35">
      <c r="B19">
        <v>16</v>
      </c>
      <c r="C19" s="1" t="s">
        <v>179</v>
      </c>
      <c r="D19" s="10">
        <v>360</v>
      </c>
      <c r="E19" s="13">
        <v>348.15</v>
      </c>
      <c r="F19" s="11">
        <v>116</v>
      </c>
      <c r="G19" s="11">
        <v>3.48</v>
      </c>
      <c r="H19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D5E6-DEF0-47E1-A8DE-1ADD8DD78D3F}">
  <dimension ref="D3:I25"/>
  <sheetViews>
    <sheetView workbookViewId="0">
      <selection activeCell="I11" sqref="I11"/>
    </sheetView>
  </sheetViews>
  <sheetFormatPr defaultRowHeight="14.5" x14ac:dyDescent="0.35"/>
  <cols>
    <col min="4" max="4" width="24.6328125" customWidth="1"/>
    <col min="5" max="5" width="16.7265625" customWidth="1"/>
    <col min="9" max="9" width="66.54296875" customWidth="1"/>
  </cols>
  <sheetData>
    <row r="3" spans="4:9" ht="16" x14ac:dyDescent="0.4">
      <c r="D3" s="3" t="s">
        <v>0</v>
      </c>
      <c r="E3" s="10" t="s">
        <v>143</v>
      </c>
      <c r="F3" s="8" t="s">
        <v>144</v>
      </c>
      <c r="G3" s="8" t="s">
        <v>145</v>
      </c>
      <c r="H3" s="8" t="s">
        <v>146</v>
      </c>
      <c r="I3" s="6" t="s">
        <v>113</v>
      </c>
    </row>
    <row r="4" spans="4:9" x14ac:dyDescent="0.35">
      <c r="D4" s="1" t="s">
        <v>180</v>
      </c>
      <c r="E4" s="1">
        <v>320</v>
      </c>
      <c r="F4" s="14">
        <v>328.15</v>
      </c>
      <c r="G4" s="11">
        <v>127.4</v>
      </c>
      <c r="H4" s="11">
        <v>1.2</v>
      </c>
      <c r="I4" s="1" t="s">
        <v>199</v>
      </c>
    </row>
    <row r="5" spans="4:9" x14ac:dyDescent="0.35">
      <c r="D5" s="1" t="s">
        <v>180</v>
      </c>
      <c r="E5" s="1">
        <v>320</v>
      </c>
      <c r="F5" s="14">
        <v>298.14999999999998</v>
      </c>
      <c r="G5" s="11">
        <v>131.9</v>
      </c>
      <c r="H5" s="11">
        <v>1.2</v>
      </c>
      <c r="I5" s="1" t="s">
        <v>199</v>
      </c>
    </row>
    <row r="6" spans="4:9" x14ac:dyDescent="0.35">
      <c r="D6" s="1" t="s">
        <v>181</v>
      </c>
      <c r="E6" s="1">
        <v>275</v>
      </c>
      <c r="F6" s="14">
        <v>298.14999999999998</v>
      </c>
      <c r="G6" s="11">
        <v>126</v>
      </c>
      <c r="H6" s="11">
        <v>8</v>
      </c>
      <c r="I6" s="1" t="s">
        <v>200</v>
      </c>
    </row>
    <row r="7" spans="4:9" x14ac:dyDescent="0.35">
      <c r="D7" s="1" t="s">
        <v>182</v>
      </c>
      <c r="E7" s="1">
        <v>239</v>
      </c>
      <c r="F7" s="14">
        <v>298.14999999999998</v>
      </c>
      <c r="G7" s="11">
        <v>128.43</v>
      </c>
      <c r="H7" s="11">
        <v>0.85</v>
      </c>
      <c r="I7" s="1" t="s">
        <v>198</v>
      </c>
    </row>
    <row r="8" spans="4:9" x14ac:dyDescent="0.35">
      <c r="D8" s="1" t="s">
        <v>183</v>
      </c>
      <c r="E8" s="1">
        <v>340</v>
      </c>
      <c r="F8" s="14">
        <v>298.14999999999998</v>
      </c>
      <c r="G8" s="11">
        <v>145</v>
      </c>
      <c r="H8" s="11">
        <v>10</v>
      </c>
      <c r="I8" s="1" t="s">
        <v>201</v>
      </c>
    </row>
    <row r="9" spans="4:9" x14ac:dyDescent="0.35">
      <c r="D9" s="1" t="s">
        <v>184</v>
      </c>
      <c r="E9" s="1">
        <v>290</v>
      </c>
      <c r="F9" s="14">
        <v>298.14999999999998</v>
      </c>
      <c r="G9" s="11">
        <v>141.5</v>
      </c>
      <c r="H9" s="11">
        <v>10</v>
      </c>
      <c r="I9" s="1" t="s">
        <v>201</v>
      </c>
    </row>
    <row r="10" spans="4:9" x14ac:dyDescent="0.35">
      <c r="D10" s="1" t="s">
        <v>185</v>
      </c>
      <c r="E10" s="1">
        <v>500</v>
      </c>
      <c r="F10" s="14">
        <v>298.14999999999998</v>
      </c>
      <c r="G10" s="11">
        <v>176.1</v>
      </c>
      <c r="H10" s="11">
        <v>6</v>
      </c>
      <c r="I10" s="1" t="s">
        <v>202</v>
      </c>
    </row>
    <row r="16" spans="4:9" ht="16" x14ac:dyDescent="0.4">
      <c r="D16" s="3" t="s">
        <v>77</v>
      </c>
      <c r="E16" s="3" t="s">
        <v>68</v>
      </c>
      <c r="F16" s="3" t="s">
        <v>69</v>
      </c>
      <c r="G16" s="3" t="s">
        <v>74</v>
      </c>
      <c r="H16" s="3" t="s">
        <v>75</v>
      </c>
      <c r="I16" s="6" t="s">
        <v>78</v>
      </c>
    </row>
    <row r="17" spans="4:9" x14ac:dyDescent="0.35">
      <c r="D17" s="1" t="s">
        <v>80</v>
      </c>
      <c r="E17" s="1">
        <v>131.9</v>
      </c>
      <c r="F17" s="1">
        <v>1.2</v>
      </c>
      <c r="G17" s="1">
        <v>34</v>
      </c>
      <c r="H17" s="1">
        <v>11</v>
      </c>
      <c r="I17" s="7" t="s">
        <v>79</v>
      </c>
    </row>
    <row r="18" spans="4:9" x14ac:dyDescent="0.35">
      <c r="D18" s="1" t="s">
        <v>76</v>
      </c>
      <c r="E18" s="1">
        <v>127.4</v>
      </c>
      <c r="F18" s="1">
        <v>1.2</v>
      </c>
      <c r="G18" s="1">
        <v>34</v>
      </c>
      <c r="H18" s="1">
        <v>11</v>
      </c>
      <c r="I18" s="7" t="s">
        <v>79</v>
      </c>
    </row>
    <row r="19" spans="4:9" x14ac:dyDescent="0.35">
      <c r="D19" s="1" t="s">
        <v>81</v>
      </c>
      <c r="E19" s="1">
        <v>126</v>
      </c>
      <c r="F19" s="1">
        <v>8</v>
      </c>
      <c r="G19" s="1">
        <v>40</v>
      </c>
      <c r="H19" s="1">
        <v>15</v>
      </c>
      <c r="I19" s="7" t="s">
        <v>89</v>
      </c>
    </row>
    <row r="20" spans="4:9" x14ac:dyDescent="0.35">
      <c r="D20" s="1" t="s">
        <v>82</v>
      </c>
      <c r="E20" s="1">
        <v>128.43</v>
      </c>
      <c r="F20" s="1">
        <v>0.85</v>
      </c>
      <c r="G20" s="1">
        <v>46</v>
      </c>
      <c r="H20" s="1">
        <v>19</v>
      </c>
      <c r="I20" s="7" t="s">
        <v>84</v>
      </c>
    </row>
    <row r="21" spans="4:9" x14ac:dyDescent="0.35">
      <c r="D21" s="1" t="s">
        <v>83</v>
      </c>
      <c r="E21" s="1">
        <v>128</v>
      </c>
      <c r="F21" s="1">
        <v>13</v>
      </c>
      <c r="G21" s="1">
        <v>52</v>
      </c>
      <c r="H21" s="1">
        <v>23</v>
      </c>
      <c r="I21" s="7" t="s">
        <v>86</v>
      </c>
    </row>
    <row r="22" spans="4:9" x14ac:dyDescent="0.35">
      <c r="D22" s="1" t="s">
        <v>91</v>
      </c>
      <c r="E22" s="1">
        <v>145</v>
      </c>
      <c r="F22" s="1">
        <v>10</v>
      </c>
      <c r="G22" s="1">
        <v>32</v>
      </c>
      <c r="H22" s="1">
        <v>15</v>
      </c>
      <c r="I22" s="7" t="s">
        <v>87</v>
      </c>
    </row>
    <row r="23" spans="4:9" x14ac:dyDescent="0.35">
      <c r="D23" s="1" t="s">
        <v>92</v>
      </c>
      <c r="E23" s="1">
        <v>141.5</v>
      </c>
      <c r="F23" s="1">
        <v>10</v>
      </c>
      <c r="G23" s="1">
        <v>38</v>
      </c>
      <c r="H23" s="1">
        <v>19</v>
      </c>
      <c r="I23" s="7" t="s">
        <v>87</v>
      </c>
    </row>
    <row r="24" spans="4:9" x14ac:dyDescent="0.35">
      <c r="D24" s="1" t="s">
        <v>93</v>
      </c>
      <c r="E24" s="1">
        <v>145</v>
      </c>
      <c r="F24" s="1">
        <v>6</v>
      </c>
      <c r="G24" s="1">
        <v>44</v>
      </c>
      <c r="H24" s="1">
        <v>23</v>
      </c>
      <c r="I24" s="7" t="s">
        <v>88</v>
      </c>
    </row>
    <row r="25" spans="4:9" x14ac:dyDescent="0.35">
      <c r="D25" s="1" t="s">
        <v>90</v>
      </c>
      <c r="E25" s="1">
        <v>176.1</v>
      </c>
      <c r="F25" s="1">
        <v>6</v>
      </c>
      <c r="G25" s="1">
        <v>22</v>
      </c>
      <c r="H25" s="1">
        <v>11</v>
      </c>
      <c r="I25" s="7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09ED-E236-41F4-8692-F9AB484DA026}">
  <dimension ref="C3:G8"/>
  <sheetViews>
    <sheetView workbookViewId="0">
      <selection activeCell="J8" sqref="J8"/>
    </sheetView>
  </sheetViews>
  <sheetFormatPr defaultRowHeight="14.5" x14ac:dyDescent="0.35"/>
  <cols>
    <col min="4" max="4" width="19.36328125" customWidth="1"/>
    <col min="5" max="5" width="15.6328125" customWidth="1"/>
    <col min="6" max="6" width="13" customWidth="1"/>
  </cols>
  <sheetData>
    <row r="3" spans="3:7" ht="16" x14ac:dyDescent="0.4">
      <c r="C3" t="s">
        <v>187</v>
      </c>
      <c r="D3" s="12" t="s">
        <v>106</v>
      </c>
      <c r="E3" s="12" t="s">
        <v>107</v>
      </c>
      <c r="F3" t="s">
        <v>188</v>
      </c>
      <c r="G3" t="s">
        <v>189</v>
      </c>
    </row>
    <row r="4" spans="3:7" x14ac:dyDescent="0.35">
      <c r="C4" s="14">
        <v>0.25</v>
      </c>
      <c r="D4" s="1">
        <v>160</v>
      </c>
      <c r="E4" s="10">
        <v>480</v>
      </c>
      <c r="F4" s="1">
        <v>131.44</v>
      </c>
      <c r="G4" s="1">
        <v>4.4000000000000004</v>
      </c>
    </row>
    <row r="5" spans="3:7" x14ac:dyDescent="0.35">
      <c r="C5" s="14">
        <v>0.5</v>
      </c>
      <c r="D5" s="1">
        <v>320</v>
      </c>
      <c r="E5" s="10">
        <v>320</v>
      </c>
      <c r="F5" s="1">
        <v>130.76</v>
      </c>
      <c r="G5" s="1">
        <v>4.4000000000000004</v>
      </c>
    </row>
    <row r="6" spans="3:7" x14ac:dyDescent="0.35">
      <c r="C6" s="14">
        <v>0.7</v>
      </c>
      <c r="D6" s="1">
        <v>598</v>
      </c>
      <c r="E6" s="10">
        <v>256</v>
      </c>
      <c r="F6" s="1">
        <v>129.75</v>
      </c>
      <c r="G6" s="1">
        <v>4.4000000000000004</v>
      </c>
    </row>
    <row r="7" spans="3:7" x14ac:dyDescent="0.35">
      <c r="C7" s="14">
        <v>0.85</v>
      </c>
      <c r="D7" s="1">
        <v>1088</v>
      </c>
      <c r="E7" s="10">
        <v>192</v>
      </c>
      <c r="F7" s="1">
        <v>114.84</v>
      </c>
      <c r="G7" s="1">
        <v>4.4000000000000004</v>
      </c>
    </row>
    <row r="8" spans="3:7" x14ac:dyDescent="0.35">
      <c r="C8" s="14">
        <v>0.91</v>
      </c>
      <c r="D8" s="1">
        <v>1294</v>
      </c>
      <c r="E8" s="10">
        <v>128</v>
      </c>
      <c r="F8" s="1">
        <v>100.45</v>
      </c>
      <c r="G8" s="1">
        <v>4.4000000000000004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5EA2-D8B0-42E7-A956-768B7731A56E}">
  <dimension ref="C3:I5"/>
  <sheetViews>
    <sheetView workbookViewId="0">
      <selection activeCell="G8" sqref="G8"/>
    </sheetView>
  </sheetViews>
  <sheetFormatPr defaultRowHeight="14.5" x14ac:dyDescent="0.35"/>
  <cols>
    <col min="3" max="3" width="11.26953125" customWidth="1"/>
    <col min="4" max="4" width="25.36328125" customWidth="1"/>
    <col min="5" max="5" width="15.1796875" customWidth="1"/>
    <col min="6" max="6" width="14.90625" customWidth="1"/>
    <col min="7" max="7" width="12.36328125" customWidth="1"/>
    <col min="9" max="9" width="19.6328125" customWidth="1"/>
  </cols>
  <sheetData>
    <row r="3" spans="3:9" ht="16" x14ac:dyDescent="0.4">
      <c r="C3" s="1" t="s">
        <v>186</v>
      </c>
      <c r="D3" s="12" t="s">
        <v>0</v>
      </c>
      <c r="E3" s="10" t="s">
        <v>143</v>
      </c>
      <c r="F3" s="10" t="s">
        <v>144</v>
      </c>
      <c r="G3" s="10" t="s">
        <v>145</v>
      </c>
      <c r="H3" s="10" t="s">
        <v>146</v>
      </c>
      <c r="I3" s="1" t="s">
        <v>113</v>
      </c>
    </row>
    <row r="4" spans="3:9" x14ac:dyDescent="0.35">
      <c r="C4" s="1">
        <v>1</v>
      </c>
      <c r="D4" s="1" t="s">
        <v>190</v>
      </c>
      <c r="E4" s="1">
        <v>1500</v>
      </c>
      <c r="F4" s="14">
        <v>123.15</v>
      </c>
      <c r="G4" s="1">
        <v>227</v>
      </c>
      <c r="H4" s="11">
        <v>4.54</v>
      </c>
      <c r="I4" s="1" t="s">
        <v>191</v>
      </c>
    </row>
    <row r="5" spans="3:9" x14ac:dyDescent="0.35">
      <c r="C5" s="1">
        <v>2</v>
      </c>
      <c r="D5" s="1" t="s">
        <v>190</v>
      </c>
      <c r="E5" s="1">
        <v>1500</v>
      </c>
      <c r="F5" s="14">
        <v>155.69999999999999</v>
      </c>
      <c r="G5" s="1">
        <v>195</v>
      </c>
      <c r="H5" s="11">
        <v>3.9</v>
      </c>
      <c r="I5" s="1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73E2-44FD-4416-97A7-17553940E316}">
  <dimension ref="A1:F8"/>
  <sheetViews>
    <sheetView workbookViewId="0">
      <selection activeCell="E19" sqref="E19"/>
    </sheetView>
  </sheetViews>
  <sheetFormatPr defaultRowHeight="14.5" x14ac:dyDescent="0.35"/>
  <cols>
    <col min="1" max="1" width="30.54296875" style="1" customWidth="1"/>
    <col min="2" max="2" width="15.7265625" style="1" customWidth="1"/>
    <col min="3" max="3" width="19" style="1" customWidth="1"/>
    <col min="4" max="4" width="13.7265625" style="1" customWidth="1"/>
    <col min="5" max="5" width="16.36328125" style="1" customWidth="1"/>
    <col min="6" max="6" width="36.08984375" style="1" customWidth="1"/>
    <col min="7" max="16384" width="8.7265625" style="1"/>
  </cols>
  <sheetData>
    <row r="1" spans="1:6" ht="16" x14ac:dyDescent="0.4">
      <c r="A1" s="3" t="s">
        <v>77</v>
      </c>
      <c r="B1" s="3" t="s">
        <v>68</v>
      </c>
      <c r="C1" s="3" t="s">
        <v>69</v>
      </c>
      <c r="D1" s="3" t="s">
        <v>74</v>
      </c>
      <c r="E1" s="3" t="s">
        <v>75</v>
      </c>
      <c r="F1" s="6"/>
    </row>
    <row r="2" spans="1:6" x14ac:dyDescent="0.35">
      <c r="A2" s="1" t="s">
        <v>76</v>
      </c>
      <c r="B2" s="1">
        <v>127.4</v>
      </c>
      <c r="C2" s="1">
        <v>1.2</v>
      </c>
      <c r="D2" s="1">
        <v>34</v>
      </c>
      <c r="E2" s="1">
        <v>11</v>
      </c>
    </row>
    <row r="3" spans="1:6" x14ac:dyDescent="0.35">
      <c r="A3" s="1" t="s">
        <v>80</v>
      </c>
      <c r="B3" s="1">
        <v>131.9</v>
      </c>
      <c r="C3" s="1">
        <v>1.2</v>
      </c>
      <c r="D3" s="1">
        <v>34</v>
      </c>
      <c r="E3" s="1">
        <v>11</v>
      </c>
    </row>
    <row r="4" spans="1:6" x14ac:dyDescent="0.35">
      <c r="A4" s="1" t="s">
        <v>94</v>
      </c>
      <c r="B4" s="1">
        <v>126</v>
      </c>
      <c r="C4" s="1">
        <v>8</v>
      </c>
      <c r="D4" s="1">
        <v>40</v>
      </c>
      <c r="E4" s="1">
        <v>15</v>
      </c>
    </row>
    <row r="5" spans="1:6" x14ac:dyDescent="0.35">
      <c r="A5" s="1" t="s">
        <v>95</v>
      </c>
      <c r="B5" s="1">
        <v>128.43</v>
      </c>
      <c r="C5" s="1">
        <v>0.85</v>
      </c>
      <c r="D5" s="1">
        <v>46</v>
      </c>
      <c r="E5" s="1">
        <v>19</v>
      </c>
    </row>
    <row r="6" spans="1:6" x14ac:dyDescent="0.35">
      <c r="A6" s="1" t="s">
        <v>96</v>
      </c>
      <c r="B6" s="1">
        <v>145</v>
      </c>
      <c r="C6" s="1">
        <v>10</v>
      </c>
      <c r="D6" s="1">
        <v>32</v>
      </c>
      <c r="E6" s="1">
        <v>15</v>
      </c>
    </row>
    <row r="7" spans="1:6" x14ac:dyDescent="0.35">
      <c r="A7" s="1" t="s">
        <v>97</v>
      </c>
      <c r="B7" s="1">
        <v>141.5</v>
      </c>
      <c r="C7" s="1">
        <v>10</v>
      </c>
      <c r="D7" s="1">
        <v>38</v>
      </c>
      <c r="E7" s="1">
        <v>19</v>
      </c>
    </row>
    <row r="8" spans="1:6" x14ac:dyDescent="0.35">
      <c r="A8" s="1" t="s">
        <v>98</v>
      </c>
      <c r="B8" s="1">
        <v>176.1</v>
      </c>
      <c r="C8" s="1">
        <v>6</v>
      </c>
      <c r="D8" s="1">
        <v>22</v>
      </c>
      <c r="E8" s="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9144-4604-4F6C-8BAA-4D4412BFB28B}">
  <dimension ref="A1:M10"/>
  <sheetViews>
    <sheetView workbookViewId="0">
      <selection activeCell="D16" sqref="D16"/>
    </sheetView>
  </sheetViews>
  <sheetFormatPr defaultRowHeight="14.5" x14ac:dyDescent="0.35"/>
  <cols>
    <col min="1" max="1" width="36.08984375" customWidth="1"/>
    <col min="2" max="2" width="16.26953125" customWidth="1"/>
    <col min="3" max="3" width="17.90625" customWidth="1"/>
    <col min="4" max="4" width="12.6328125" customWidth="1"/>
    <col min="5" max="5" width="15.453125" customWidth="1"/>
    <col min="6" max="6" width="15.26953125" customWidth="1"/>
    <col min="7" max="7" width="14.26953125" customWidth="1"/>
    <col min="8" max="8" width="13.453125" customWidth="1"/>
    <col min="9" max="9" width="13.54296875" customWidth="1"/>
    <col min="10" max="10" width="19.36328125" customWidth="1"/>
    <col min="11" max="11" width="16" customWidth="1"/>
    <col min="12" max="12" width="14.81640625" customWidth="1"/>
  </cols>
  <sheetData>
    <row r="1" spans="1:13" ht="16" x14ac:dyDescent="0.4">
      <c r="A1" s="3" t="s">
        <v>77</v>
      </c>
      <c r="B1" s="3" t="s">
        <v>68</v>
      </c>
      <c r="C1" s="3" t="s">
        <v>69</v>
      </c>
      <c r="D1" s="3" t="s">
        <v>74</v>
      </c>
      <c r="E1" s="3" t="s">
        <v>75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</row>
    <row r="2" spans="1:13" x14ac:dyDescent="0.35">
      <c r="A2" s="1" t="s">
        <v>102</v>
      </c>
      <c r="B2" s="1">
        <v>131.44</v>
      </c>
      <c r="C2" s="1">
        <v>2.2000000000000002</v>
      </c>
      <c r="D2" s="4">
        <f>H2*J2+(1-H2)*L2</f>
        <v>27.5</v>
      </c>
      <c r="E2" s="4">
        <f>H2*I2+(1-H2)*K2</f>
        <v>8.75</v>
      </c>
      <c r="F2">
        <v>160</v>
      </c>
      <c r="G2" s="8">
        <v>480</v>
      </c>
      <c r="H2" s="9">
        <f>F2/(F2+G2)</f>
        <v>0.25</v>
      </c>
      <c r="I2">
        <v>2</v>
      </c>
      <c r="J2">
        <v>8</v>
      </c>
      <c r="K2">
        <v>11</v>
      </c>
      <c r="L2">
        <v>34</v>
      </c>
      <c r="M2">
        <f>L2*G2+J2*F2</f>
        <v>17600</v>
      </c>
    </row>
    <row r="3" spans="1:13" x14ac:dyDescent="0.35">
      <c r="A3" s="1" t="s">
        <v>103</v>
      </c>
      <c r="B3" s="1">
        <v>130.76</v>
      </c>
      <c r="C3" s="1">
        <v>2.2000000000000002</v>
      </c>
      <c r="D3" s="4">
        <f t="shared" ref="D3:D6" si="0">H3*J3+(1-H3)*L3</f>
        <v>21</v>
      </c>
      <c r="E3" s="4">
        <f t="shared" ref="E3:E6" si="1">H3*I3+(1-H3)*K3</f>
        <v>6.5</v>
      </c>
      <c r="F3">
        <v>320</v>
      </c>
      <c r="G3" s="8">
        <v>320</v>
      </c>
      <c r="H3" s="9">
        <f t="shared" ref="H3:H6" si="2">F3/(F3+G3)</f>
        <v>0.5</v>
      </c>
      <c r="I3">
        <v>2</v>
      </c>
      <c r="J3">
        <v>8</v>
      </c>
      <c r="K3">
        <v>11</v>
      </c>
      <c r="L3">
        <v>34</v>
      </c>
      <c r="M3">
        <f t="shared" ref="M3:M6" si="3">L3*G3+J3*F3</f>
        <v>13440</v>
      </c>
    </row>
    <row r="4" spans="1:13" x14ac:dyDescent="0.35">
      <c r="A4" s="1" t="s">
        <v>104</v>
      </c>
      <c r="B4" s="1">
        <v>129.75</v>
      </c>
      <c r="C4" s="1">
        <v>2.2000000000000002</v>
      </c>
      <c r="D4" s="4">
        <f t="shared" si="0"/>
        <v>15.793911007025763</v>
      </c>
      <c r="E4" s="4">
        <f t="shared" si="1"/>
        <v>4.6978922716627638</v>
      </c>
      <c r="F4">
        <v>598</v>
      </c>
      <c r="G4" s="8">
        <v>256</v>
      </c>
      <c r="H4" s="9">
        <f t="shared" si="2"/>
        <v>0.70023419203747073</v>
      </c>
      <c r="I4">
        <v>2</v>
      </c>
      <c r="J4">
        <v>8</v>
      </c>
      <c r="K4">
        <v>11</v>
      </c>
      <c r="L4">
        <v>34</v>
      </c>
      <c r="M4">
        <f t="shared" si="3"/>
        <v>13488</v>
      </c>
    </row>
    <row r="5" spans="1:13" x14ac:dyDescent="0.35">
      <c r="A5" s="1" t="s">
        <v>101</v>
      </c>
      <c r="B5" s="1">
        <v>114.84</v>
      </c>
      <c r="C5" s="1">
        <v>2.2000000000000002</v>
      </c>
      <c r="D5" s="4">
        <f t="shared" si="0"/>
        <v>11.9</v>
      </c>
      <c r="E5" s="4">
        <f t="shared" si="1"/>
        <v>3.3500000000000005</v>
      </c>
      <c r="F5">
        <v>1088</v>
      </c>
      <c r="G5" s="8">
        <v>192</v>
      </c>
      <c r="H5" s="9">
        <f t="shared" si="2"/>
        <v>0.85</v>
      </c>
      <c r="I5">
        <v>2</v>
      </c>
      <c r="J5">
        <v>8</v>
      </c>
      <c r="K5">
        <v>11</v>
      </c>
      <c r="L5">
        <v>34</v>
      </c>
      <c r="M5">
        <f t="shared" si="3"/>
        <v>15232</v>
      </c>
    </row>
    <row r="6" spans="1:13" x14ac:dyDescent="0.35">
      <c r="A6" s="1" t="s">
        <v>105</v>
      </c>
      <c r="B6" s="1">
        <v>100.45</v>
      </c>
      <c r="C6" s="1">
        <v>2.2000000000000002</v>
      </c>
      <c r="D6" s="4">
        <f t="shared" si="0"/>
        <v>10.340365682137833</v>
      </c>
      <c r="E6" s="4">
        <f t="shared" si="1"/>
        <v>2.8101265822784809</v>
      </c>
      <c r="F6">
        <v>1294</v>
      </c>
      <c r="G6" s="8">
        <v>128</v>
      </c>
      <c r="H6" s="9">
        <f t="shared" si="2"/>
        <v>0.90998593530239102</v>
      </c>
      <c r="I6">
        <v>2</v>
      </c>
      <c r="J6">
        <v>8</v>
      </c>
      <c r="K6">
        <v>11</v>
      </c>
      <c r="L6">
        <v>34</v>
      </c>
      <c r="M6">
        <f t="shared" si="3"/>
        <v>14704</v>
      </c>
    </row>
    <row r="7" spans="1:13" x14ac:dyDescent="0.35">
      <c r="A7" s="1"/>
      <c r="B7" s="1"/>
      <c r="C7" s="1"/>
      <c r="D7" s="1"/>
      <c r="E7" s="1"/>
    </row>
    <row r="8" spans="1:13" x14ac:dyDescent="0.35">
      <c r="A8" s="1"/>
      <c r="B8" s="1"/>
      <c r="C8" s="1"/>
      <c r="D8" s="1"/>
      <c r="E8" s="1"/>
    </row>
    <row r="9" spans="1:13" x14ac:dyDescent="0.35">
      <c r="A9" s="1"/>
      <c r="B9" s="1"/>
      <c r="C9" s="1"/>
      <c r="D9" s="1"/>
      <c r="E9" s="1"/>
    </row>
    <row r="10" spans="1:13" x14ac:dyDescent="0.35">
      <c r="A10" s="1"/>
      <c r="B10" s="1"/>
      <c r="C10" s="1"/>
      <c r="D10" s="1"/>
      <c r="E1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2458-4859-4C80-885C-921873E36125}">
  <dimension ref="A1:F8"/>
  <sheetViews>
    <sheetView workbookViewId="0">
      <selection activeCell="E19" sqref="E19"/>
    </sheetView>
  </sheetViews>
  <sheetFormatPr defaultRowHeight="14.5" x14ac:dyDescent="0.35"/>
  <cols>
    <col min="1" max="1" width="27.1796875" customWidth="1"/>
    <col min="2" max="2" width="15" customWidth="1"/>
    <col min="3" max="3" width="19.08984375" customWidth="1"/>
    <col min="4" max="4" width="14" customWidth="1"/>
    <col min="5" max="5" width="16.08984375" customWidth="1"/>
    <col min="6" max="6" width="19.36328125" customWidth="1"/>
  </cols>
  <sheetData>
    <row r="1" spans="1:6" ht="16" x14ac:dyDescent="0.4">
      <c r="A1" s="3" t="s">
        <v>0</v>
      </c>
      <c r="B1" s="3" t="s">
        <v>68</v>
      </c>
      <c r="C1" s="3" t="s">
        <v>69</v>
      </c>
      <c r="D1" s="3" t="s">
        <v>74</v>
      </c>
      <c r="E1" s="3" t="s">
        <v>75</v>
      </c>
      <c r="F1" s="3" t="s">
        <v>99</v>
      </c>
    </row>
    <row r="2" spans="1:6" x14ac:dyDescent="0.35">
      <c r="A2" s="1" t="s">
        <v>31</v>
      </c>
      <c r="B2" s="1">
        <v>113</v>
      </c>
      <c r="C2" s="4">
        <v>4.2000000000000003E-2</v>
      </c>
      <c r="D2" s="1">
        <v>20</v>
      </c>
      <c r="E2" s="1">
        <v>14</v>
      </c>
      <c r="F2" s="1">
        <v>6</v>
      </c>
    </row>
    <row r="3" spans="1:6" x14ac:dyDescent="0.35">
      <c r="A3" s="1" t="s">
        <v>51</v>
      </c>
      <c r="B3" s="1">
        <v>114.7</v>
      </c>
      <c r="C3" s="4">
        <v>0.04</v>
      </c>
      <c r="D3" s="1">
        <v>23</v>
      </c>
      <c r="E3" s="1">
        <v>16</v>
      </c>
      <c r="F3" s="1">
        <v>7</v>
      </c>
    </row>
    <row r="4" spans="1:6" x14ac:dyDescent="0.35">
      <c r="A4" s="1" t="s">
        <v>28</v>
      </c>
      <c r="B4" s="1">
        <v>117</v>
      </c>
      <c r="C4" s="4">
        <v>0.03</v>
      </c>
      <c r="D4" s="1">
        <v>26</v>
      </c>
      <c r="E4" s="1">
        <v>18</v>
      </c>
      <c r="F4" s="1">
        <v>8</v>
      </c>
    </row>
    <row r="5" spans="1:6" x14ac:dyDescent="0.35">
      <c r="A5" s="1" t="s">
        <v>25</v>
      </c>
      <c r="B5" s="1">
        <v>120</v>
      </c>
      <c r="C5" s="4">
        <v>0.03</v>
      </c>
      <c r="D5" s="1">
        <v>29</v>
      </c>
      <c r="E5" s="1">
        <v>20</v>
      </c>
      <c r="F5" s="1">
        <v>9</v>
      </c>
    </row>
    <row r="6" spans="1:6" x14ac:dyDescent="0.35">
      <c r="A6" s="1" t="s">
        <v>22</v>
      </c>
      <c r="B6" s="1">
        <v>123</v>
      </c>
      <c r="C6" s="4">
        <v>0.03</v>
      </c>
      <c r="D6" s="1">
        <v>32</v>
      </c>
      <c r="E6" s="1">
        <v>22</v>
      </c>
      <c r="F6" s="1">
        <v>10</v>
      </c>
    </row>
    <row r="7" spans="1:6" x14ac:dyDescent="0.35">
      <c r="A7" s="1" t="s">
        <v>18</v>
      </c>
      <c r="B7" s="1">
        <v>128</v>
      </c>
      <c r="C7" s="4">
        <v>0.03</v>
      </c>
      <c r="D7" s="1">
        <v>35</v>
      </c>
      <c r="E7" s="1">
        <v>24</v>
      </c>
      <c r="F7" s="1">
        <v>11</v>
      </c>
    </row>
    <row r="8" spans="1:6" x14ac:dyDescent="0.35">
      <c r="A8" s="1" t="s">
        <v>47</v>
      </c>
      <c r="B8" s="1">
        <v>129.5</v>
      </c>
      <c r="C8" s="4">
        <v>0.03</v>
      </c>
      <c r="D8" s="1">
        <v>38</v>
      </c>
      <c r="E8" s="1">
        <v>26</v>
      </c>
      <c r="F8" s="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230A-0D66-4431-962A-4801EB45C9BC}">
  <dimension ref="A1:F5"/>
  <sheetViews>
    <sheetView workbookViewId="0">
      <selection activeCell="C11" sqref="C11"/>
    </sheetView>
  </sheetViews>
  <sheetFormatPr defaultRowHeight="14.5" x14ac:dyDescent="0.35"/>
  <cols>
    <col min="1" max="1" width="25.08984375" customWidth="1"/>
    <col min="2" max="2" width="16.26953125" customWidth="1"/>
    <col min="3" max="3" width="18.54296875" customWidth="1"/>
    <col min="4" max="4" width="13.6328125" customWidth="1"/>
    <col min="5" max="5" width="16" customWidth="1"/>
    <col min="6" max="6" width="23.08984375" customWidth="1"/>
  </cols>
  <sheetData>
    <row r="1" spans="1:6" ht="16" x14ac:dyDescent="0.4">
      <c r="A1" s="3" t="s">
        <v>77</v>
      </c>
      <c r="B1" s="3" t="s">
        <v>68</v>
      </c>
      <c r="C1" s="3" t="s">
        <v>69</v>
      </c>
      <c r="D1" s="3" t="s">
        <v>74</v>
      </c>
      <c r="E1" s="3" t="s">
        <v>75</v>
      </c>
      <c r="F1" s="3" t="s">
        <v>100</v>
      </c>
    </row>
    <row r="2" spans="1:6" x14ac:dyDescent="0.35">
      <c r="A2" s="1" t="s">
        <v>80</v>
      </c>
      <c r="B2" s="1">
        <v>131.9</v>
      </c>
      <c r="C2" s="1">
        <v>1.2</v>
      </c>
      <c r="D2" s="1">
        <v>34</v>
      </c>
      <c r="E2" s="1">
        <v>11</v>
      </c>
      <c r="F2" s="1">
        <v>2</v>
      </c>
    </row>
    <row r="3" spans="1:6" x14ac:dyDescent="0.35">
      <c r="A3" s="1" t="s">
        <v>94</v>
      </c>
      <c r="B3" s="1">
        <v>126</v>
      </c>
      <c r="C3" s="1">
        <v>8</v>
      </c>
      <c r="D3" s="1">
        <v>40</v>
      </c>
      <c r="E3" s="1">
        <v>15</v>
      </c>
      <c r="F3" s="1">
        <v>4</v>
      </c>
    </row>
    <row r="4" spans="1:6" x14ac:dyDescent="0.35">
      <c r="A4" s="1" t="s">
        <v>95</v>
      </c>
      <c r="B4" s="1">
        <v>128.43</v>
      </c>
      <c r="C4" s="1">
        <v>0.85</v>
      </c>
      <c r="D4" s="1">
        <v>46</v>
      </c>
      <c r="E4" s="1">
        <v>19</v>
      </c>
      <c r="F4" s="1">
        <v>6</v>
      </c>
    </row>
    <row r="5" spans="1:6" x14ac:dyDescent="0.35">
      <c r="F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2599-885F-48B2-8815-B75B3EBEF2D7}">
  <dimension ref="A1:E42"/>
  <sheetViews>
    <sheetView workbookViewId="0">
      <selection activeCell="G14" sqref="G14"/>
    </sheetView>
  </sheetViews>
  <sheetFormatPr defaultRowHeight="14.5" x14ac:dyDescent="0.35"/>
  <cols>
    <col min="1" max="1" width="41.54296875" style="1" customWidth="1"/>
    <col min="2" max="2" width="16.1796875" style="1" customWidth="1"/>
    <col min="3" max="3" width="18.36328125" style="1" customWidth="1"/>
    <col min="4" max="4" width="14.81640625" style="1" customWidth="1"/>
    <col min="5" max="5" width="16.08984375" style="1" customWidth="1"/>
    <col min="6" max="6" width="15.6328125" style="1" customWidth="1"/>
    <col min="7" max="16384" width="8.7265625" style="1"/>
  </cols>
  <sheetData>
    <row r="1" spans="1:5" ht="16" x14ac:dyDescent="0.4">
      <c r="A1" s="3" t="s">
        <v>0</v>
      </c>
      <c r="B1" s="3" t="s">
        <v>68</v>
      </c>
      <c r="C1" s="3" t="s">
        <v>69</v>
      </c>
      <c r="D1" s="3" t="s">
        <v>74</v>
      </c>
      <c r="E1" s="3" t="s">
        <v>75</v>
      </c>
    </row>
    <row r="2" spans="1:5" x14ac:dyDescent="0.35">
      <c r="A2" s="1" t="s">
        <v>2</v>
      </c>
      <c r="B2" s="1">
        <v>111</v>
      </c>
      <c r="C2" s="4">
        <v>0.03</v>
      </c>
      <c r="D2" s="1">
        <v>12</v>
      </c>
      <c r="E2" s="1">
        <v>5</v>
      </c>
    </row>
    <row r="3" spans="1:5" x14ac:dyDescent="0.35">
      <c r="A3" s="1" t="s">
        <v>3</v>
      </c>
      <c r="B3" s="1">
        <v>103</v>
      </c>
      <c r="C3" s="4">
        <v>0.03</v>
      </c>
      <c r="D3" s="1">
        <v>12</v>
      </c>
      <c r="E3" s="1">
        <v>5</v>
      </c>
    </row>
    <row r="4" spans="1:5" x14ac:dyDescent="0.35">
      <c r="A4" s="1" t="s">
        <v>15</v>
      </c>
      <c r="B4" s="1">
        <v>107</v>
      </c>
      <c r="C4" s="4">
        <v>0.03</v>
      </c>
      <c r="D4" s="1">
        <v>8</v>
      </c>
      <c r="E4" s="1">
        <v>5</v>
      </c>
    </row>
    <row r="5" spans="1:5" x14ac:dyDescent="0.35">
      <c r="A5" s="1" t="s">
        <v>16</v>
      </c>
      <c r="B5" s="1">
        <v>101</v>
      </c>
      <c r="C5" s="4">
        <v>0.03</v>
      </c>
      <c r="D5" s="1">
        <v>8</v>
      </c>
      <c r="E5" s="1">
        <v>5</v>
      </c>
    </row>
    <row r="6" spans="1:5" x14ac:dyDescent="0.35">
      <c r="A6" s="1" t="s">
        <v>35</v>
      </c>
      <c r="B6" s="1">
        <v>150</v>
      </c>
      <c r="C6" s="4">
        <v>0.03</v>
      </c>
      <c r="D6" s="1">
        <v>14</v>
      </c>
      <c r="E6" s="1">
        <v>10</v>
      </c>
    </row>
    <row r="7" spans="1:5" x14ac:dyDescent="0.35">
      <c r="A7" s="1" t="s">
        <v>36</v>
      </c>
      <c r="B7" s="1">
        <v>141.5</v>
      </c>
      <c r="C7" s="4">
        <v>0.03</v>
      </c>
      <c r="D7" s="1">
        <v>14</v>
      </c>
      <c r="E7" s="1">
        <v>10</v>
      </c>
    </row>
    <row r="8" spans="1:5" x14ac:dyDescent="0.35">
      <c r="A8" s="1" t="s">
        <v>37</v>
      </c>
      <c r="B8" s="1">
        <v>127</v>
      </c>
      <c r="C8" s="4">
        <v>0.03</v>
      </c>
      <c r="D8" s="1">
        <v>14</v>
      </c>
      <c r="E8" s="1">
        <v>10</v>
      </c>
    </row>
    <row r="9" spans="1:5" x14ac:dyDescent="0.35">
      <c r="A9" s="1" t="s">
        <v>4</v>
      </c>
      <c r="B9" s="1">
        <v>124</v>
      </c>
      <c r="C9" s="4">
        <v>0.03</v>
      </c>
      <c r="D9" s="1">
        <v>12</v>
      </c>
      <c r="E9" s="1">
        <v>5</v>
      </c>
    </row>
    <row r="10" spans="1:5" x14ac:dyDescent="0.35">
      <c r="A10" s="1" t="s">
        <v>5</v>
      </c>
      <c r="B10" s="1">
        <v>113</v>
      </c>
      <c r="C10" s="4">
        <v>0.03</v>
      </c>
      <c r="D10" s="1">
        <v>12</v>
      </c>
      <c r="E10" s="1">
        <v>5</v>
      </c>
    </row>
    <row r="11" spans="1:5" x14ac:dyDescent="0.35">
      <c r="A11" s="1" t="s">
        <v>7</v>
      </c>
      <c r="B11" s="1">
        <v>118</v>
      </c>
      <c r="C11" s="4">
        <v>0.03</v>
      </c>
      <c r="D11" s="1">
        <v>21</v>
      </c>
      <c r="E11" s="1">
        <v>14</v>
      </c>
    </row>
    <row r="12" spans="1:5" x14ac:dyDescent="0.35">
      <c r="A12" s="1" t="s">
        <v>8</v>
      </c>
      <c r="B12" s="1">
        <v>109</v>
      </c>
      <c r="C12" s="4">
        <v>0.03</v>
      </c>
      <c r="D12" s="1">
        <v>21</v>
      </c>
      <c r="E12" s="1">
        <v>14</v>
      </c>
    </row>
    <row r="13" spans="1:5" x14ac:dyDescent="0.35">
      <c r="A13" s="1" t="s">
        <v>6</v>
      </c>
      <c r="B13" s="1">
        <v>126.6</v>
      </c>
      <c r="C13" s="4">
        <v>0.01</v>
      </c>
      <c r="D13" s="1">
        <v>15</v>
      </c>
      <c r="E13" s="1">
        <v>10</v>
      </c>
    </row>
    <row r="14" spans="1:5" x14ac:dyDescent="0.35">
      <c r="A14" s="1" t="s">
        <v>20</v>
      </c>
      <c r="B14" s="1">
        <v>136</v>
      </c>
      <c r="C14" s="4">
        <v>0.03</v>
      </c>
      <c r="D14" s="1">
        <v>32</v>
      </c>
      <c r="E14" s="1">
        <v>22</v>
      </c>
    </row>
    <row r="15" spans="1:5" x14ac:dyDescent="0.35">
      <c r="A15" s="1" t="s">
        <v>21</v>
      </c>
      <c r="B15" s="1">
        <v>125</v>
      </c>
      <c r="C15" s="4">
        <v>0.03</v>
      </c>
      <c r="D15" s="1">
        <v>32</v>
      </c>
      <c r="E15" s="1">
        <v>22</v>
      </c>
    </row>
    <row r="16" spans="1:5" x14ac:dyDescent="0.35">
      <c r="A16" s="1" t="s">
        <v>22</v>
      </c>
      <c r="B16" s="1">
        <v>123</v>
      </c>
      <c r="C16" s="4">
        <v>0.03</v>
      </c>
      <c r="D16" s="1">
        <v>32</v>
      </c>
      <c r="E16" s="1">
        <v>22</v>
      </c>
    </row>
    <row r="17" spans="1:5" x14ac:dyDescent="0.35">
      <c r="A17" s="1" t="s">
        <v>73</v>
      </c>
      <c r="B17" s="1">
        <v>141.5</v>
      </c>
      <c r="C17" s="4">
        <v>0.03</v>
      </c>
      <c r="D17" s="1">
        <v>38</v>
      </c>
      <c r="E17" s="1">
        <v>26</v>
      </c>
    </row>
    <row r="18" spans="1:5" x14ac:dyDescent="0.35">
      <c r="A18" s="1" t="s">
        <v>1</v>
      </c>
      <c r="B18" s="1">
        <v>83</v>
      </c>
      <c r="C18" s="4">
        <v>0.03</v>
      </c>
      <c r="D18" s="1">
        <v>12</v>
      </c>
      <c r="E18" s="1">
        <v>0</v>
      </c>
    </row>
    <row r="19" spans="1:5" x14ac:dyDescent="0.35">
      <c r="A19" s="1" t="s">
        <v>29</v>
      </c>
      <c r="B19" s="1">
        <v>133</v>
      </c>
      <c r="C19" s="4">
        <v>4.2000000000000003E-2</v>
      </c>
      <c r="D19" s="1">
        <v>20</v>
      </c>
      <c r="E19" s="1">
        <v>14</v>
      </c>
    </row>
    <row r="20" spans="1:5" x14ac:dyDescent="0.35">
      <c r="A20" s="1" t="s">
        <v>30</v>
      </c>
      <c r="B20" s="1">
        <v>128</v>
      </c>
      <c r="C20" s="4">
        <v>4.2000000000000003E-2</v>
      </c>
      <c r="D20" s="1">
        <v>20</v>
      </c>
      <c r="E20" s="1">
        <v>14</v>
      </c>
    </row>
    <row r="21" spans="1:5" x14ac:dyDescent="0.35">
      <c r="A21" s="1" t="s">
        <v>31</v>
      </c>
      <c r="B21" s="1">
        <v>113</v>
      </c>
      <c r="C21" s="4">
        <v>4.2000000000000003E-2</v>
      </c>
      <c r="D21" s="1">
        <v>20</v>
      </c>
      <c r="E21" s="1">
        <v>14</v>
      </c>
    </row>
    <row r="22" spans="1:5" x14ac:dyDescent="0.35">
      <c r="A22" s="1" t="s">
        <v>23</v>
      </c>
      <c r="B22" s="1">
        <v>134</v>
      </c>
      <c r="C22" s="4">
        <v>0.03</v>
      </c>
      <c r="D22" s="1">
        <v>29</v>
      </c>
      <c r="E22" s="1">
        <v>20</v>
      </c>
    </row>
    <row r="23" spans="1:5" x14ac:dyDescent="0.35">
      <c r="A23" s="1" t="s">
        <v>24</v>
      </c>
      <c r="B23" s="1">
        <v>125</v>
      </c>
      <c r="C23" s="4">
        <v>0.03</v>
      </c>
      <c r="D23" s="1">
        <v>29</v>
      </c>
      <c r="E23" s="1">
        <v>20</v>
      </c>
    </row>
    <row r="24" spans="1:5" x14ac:dyDescent="0.35">
      <c r="A24" s="1" t="s">
        <v>25</v>
      </c>
      <c r="B24" s="1">
        <v>120</v>
      </c>
      <c r="C24" s="4">
        <v>0.03</v>
      </c>
      <c r="D24" s="1">
        <v>29</v>
      </c>
      <c r="E24" s="1">
        <v>20</v>
      </c>
    </row>
    <row r="25" spans="1:5" x14ac:dyDescent="0.35">
      <c r="A25" s="1" t="s">
        <v>26</v>
      </c>
      <c r="B25" s="1">
        <v>133</v>
      </c>
      <c r="C25" s="4">
        <v>0.03</v>
      </c>
      <c r="D25" s="1">
        <v>26</v>
      </c>
      <c r="E25" s="1">
        <v>18</v>
      </c>
    </row>
    <row r="26" spans="1:5" x14ac:dyDescent="0.35">
      <c r="A26" s="1" t="s">
        <v>27</v>
      </c>
      <c r="B26" s="1">
        <v>127</v>
      </c>
      <c r="C26" s="4">
        <v>0.03</v>
      </c>
      <c r="D26" s="1">
        <v>26</v>
      </c>
      <c r="E26" s="1">
        <v>18</v>
      </c>
    </row>
    <row r="27" spans="1:5" x14ac:dyDescent="0.35">
      <c r="A27" s="1" t="s">
        <v>28</v>
      </c>
      <c r="B27" s="1">
        <v>117</v>
      </c>
      <c r="C27" s="4">
        <v>0.03</v>
      </c>
      <c r="D27" s="1">
        <v>26</v>
      </c>
      <c r="E27" s="1">
        <v>18</v>
      </c>
    </row>
    <row r="28" spans="1:5" x14ac:dyDescent="0.35">
      <c r="A28" s="1" t="s">
        <v>12</v>
      </c>
      <c r="B28" s="1">
        <v>101</v>
      </c>
      <c r="C28" s="4">
        <v>0.03</v>
      </c>
      <c r="D28" s="1">
        <v>20</v>
      </c>
      <c r="E28" s="1">
        <v>13</v>
      </c>
    </row>
    <row r="29" spans="1:5" x14ac:dyDescent="0.35">
      <c r="A29" s="1" t="s">
        <v>13</v>
      </c>
      <c r="B29" s="1">
        <v>127</v>
      </c>
      <c r="C29" s="4">
        <v>0.03</v>
      </c>
      <c r="D29" s="1">
        <v>26</v>
      </c>
      <c r="E29" s="1">
        <v>17</v>
      </c>
    </row>
    <row r="30" spans="1:5" x14ac:dyDescent="0.35">
      <c r="A30" s="1" t="s">
        <v>14</v>
      </c>
      <c r="B30" s="1">
        <v>121</v>
      </c>
      <c r="C30" s="4">
        <v>0.03</v>
      </c>
      <c r="D30" s="1">
        <v>26</v>
      </c>
      <c r="E30" s="1">
        <v>17</v>
      </c>
    </row>
    <row r="31" spans="1:5" x14ac:dyDescent="0.35">
      <c r="A31" s="1" t="s">
        <v>32</v>
      </c>
      <c r="B31" s="1">
        <v>134</v>
      </c>
      <c r="C31" s="4">
        <v>0.04</v>
      </c>
      <c r="D31" s="1">
        <v>17</v>
      </c>
      <c r="E31" s="1">
        <v>12</v>
      </c>
    </row>
    <row r="32" spans="1:5" x14ac:dyDescent="0.35">
      <c r="A32" s="1" t="s">
        <v>33</v>
      </c>
      <c r="B32" s="1">
        <v>131</v>
      </c>
      <c r="C32" s="4">
        <v>0.04</v>
      </c>
      <c r="D32" s="1">
        <v>17</v>
      </c>
      <c r="E32" s="1">
        <v>12</v>
      </c>
    </row>
    <row r="33" spans="1:5" x14ac:dyDescent="0.35">
      <c r="A33" s="1" t="s">
        <v>34</v>
      </c>
      <c r="B33" s="1">
        <v>112</v>
      </c>
      <c r="C33" s="4">
        <v>0.04</v>
      </c>
      <c r="D33" s="1">
        <v>17</v>
      </c>
      <c r="E33" s="1">
        <v>12</v>
      </c>
    </row>
    <row r="34" spans="1:5" x14ac:dyDescent="0.35">
      <c r="A34" s="1" t="s">
        <v>11</v>
      </c>
      <c r="B34" s="1">
        <v>53</v>
      </c>
      <c r="C34" s="4">
        <v>0.03</v>
      </c>
      <c r="D34" s="1">
        <v>23</v>
      </c>
      <c r="E34" s="1">
        <v>0</v>
      </c>
    </row>
    <row r="35" spans="1:5" x14ac:dyDescent="0.35">
      <c r="A35" s="1" t="s">
        <v>9</v>
      </c>
      <c r="B35" s="1">
        <v>62</v>
      </c>
      <c r="C35" s="4">
        <v>0.03</v>
      </c>
      <c r="D35" s="1">
        <v>26</v>
      </c>
      <c r="E35" s="1">
        <v>0</v>
      </c>
    </row>
    <row r="36" spans="1:5" x14ac:dyDescent="0.35">
      <c r="A36" s="1" t="s">
        <v>10</v>
      </c>
      <c r="B36" s="1">
        <v>55</v>
      </c>
      <c r="C36" s="4">
        <v>0.03</v>
      </c>
      <c r="D36" s="1">
        <v>26</v>
      </c>
      <c r="E36" s="1">
        <v>0</v>
      </c>
    </row>
    <row r="37" spans="1:5" x14ac:dyDescent="0.35">
      <c r="A37" s="1" t="s">
        <v>38</v>
      </c>
      <c r="B37" s="1">
        <v>179</v>
      </c>
      <c r="C37" s="4">
        <v>0.03</v>
      </c>
      <c r="D37" s="1">
        <v>11</v>
      </c>
      <c r="E37" s="1">
        <v>8</v>
      </c>
    </row>
    <row r="38" spans="1:5" x14ac:dyDescent="0.35">
      <c r="A38" s="1" t="s">
        <v>39</v>
      </c>
      <c r="B38" s="1">
        <v>155</v>
      </c>
      <c r="C38" s="4">
        <v>0.03</v>
      </c>
      <c r="D38" s="1">
        <v>11</v>
      </c>
      <c r="E38" s="1">
        <v>8</v>
      </c>
    </row>
    <row r="39" spans="1:5" x14ac:dyDescent="0.35">
      <c r="A39" s="1" t="s">
        <v>40</v>
      </c>
      <c r="B39" s="1">
        <v>149</v>
      </c>
      <c r="C39" s="4">
        <v>0.03</v>
      </c>
      <c r="D39" s="1">
        <v>11</v>
      </c>
      <c r="E39" s="1">
        <v>8</v>
      </c>
    </row>
    <row r="40" spans="1:5" x14ac:dyDescent="0.35">
      <c r="A40" s="1" t="s">
        <v>17</v>
      </c>
      <c r="B40" s="1">
        <v>142</v>
      </c>
      <c r="C40" s="4">
        <v>0.03</v>
      </c>
      <c r="D40" s="1">
        <v>35</v>
      </c>
      <c r="E40" s="1">
        <v>24</v>
      </c>
    </row>
    <row r="41" spans="1:5" x14ac:dyDescent="0.35">
      <c r="A41" s="1" t="s">
        <v>18</v>
      </c>
      <c r="B41" s="1">
        <v>128</v>
      </c>
      <c r="C41" s="4">
        <v>0.03</v>
      </c>
      <c r="D41" s="1">
        <v>35</v>
      </c>
      <c r="E41" s="1">
        <v>24</v>
      </c>
    </row>
    <row r="42" spans="1:5" x14ac:dyDescent="0.35">
      <c r="A42" s="1" t="s">
        <v>19</v>
      </c>
      <c r="B42" s="1">
        <v>127</v>
      </c>
      <c r="C42" s="4">
        <v>0.03</v>
      </c>
      <c r="D42" s="1">
        <v>35</v>
      </c>
      <c r="E42" s="1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7195-54DB-46EA-A43A-77968080B239}">
  <dimension ref="A1:E12"/>
  <sheetViews>
    <sheetView workbookViewId="0">
      <selection activeCell="C14" sqref="C14"/>
    </sheetView>
  </sheetViews>
  <sheetFormatPr defaultColWidth="25.36328125" defaultRowHeight="14.5" x14ac:dyDescent="0.35"/>
  <cols>
    <col min="1" max="1" width="36" customWidth="1"/>
    <col min="2" max="2" width="19.1796875" customWidth="1"/>
    <col min="3" max="3" width="20.26953125" customWidth="1"/>
    <col min="4" max="4" width="16.81640625" customWidth="1"/>
    <col min="5" max="5" width="17.26953125" customWidth="1"/>
  </cols>
  <sheetData>
    <row r="1" spans="1:5" ht="16" x14ac:dyDescent="0.4">
      <c r="A1" s="3" t="s">
        <v>0</v>
      </c>
      <c r="B1" s="3" t="s">
        <v>68</v>
      </c>
      <c r="C1" s="3" t="s">
        <v>69</v>
      </c>
      <c r="D1" s="3" t="s">
        <v>74</v>
      </c>
      <c r="E1" s="3" t="s">
        <v>75</v>
      </c>
    </row>
    <row r="2" spans="1:5" s="5" customFormat="1" x14ac:dyDescent="0.35">
      <c r="A2" s="1" t="s">
        <v>43</v>
      </c>
      <c r="B2" s="1">
        <v>118.1</v>
      </c>
      <c r="C2" s="4">
        <v>0.01</v>
      </c>
      <c r="D2" s="1">
        <v>18</v>
      </c>
      <c r="E2" s="1">
        <v>12</v>
      </c>
    </row>
    <row r="3" spans="1:5" s="5" customFormat="1" x14ac:dyDescent="0.35">
      <c r="A3" s="1" t="s">
        <v>44</v>
      </c>
      <c r="B3" s="1">
        <v>106</v>
      </c>
      <c r="C3" s="4">
        <v>0.03</v>
      </c>
      <c r="D3" s="1">
        <v>18</v>
      </c>
      <c r="E3" s="1">
        <v>12</v>
      </c>
    </row>
    <row r="4" spans="1:5" s="5" customFormat="1" x14ac:dyDescent="0.35">
      <c r="A4" s="1" t="s">
        <v>47</v>
      </c>
      <c r="B4" s="1">
        <v>129.5</v>
      </c>
      <c r="C4" s="4">
        <v>0.03</v>
      </c>
      <c r="D4" s="1">
        <v>38</v>
      </c>
      <c r="E4" s="1">
        <v>26</v>
      </c>
    </row>
    <row r="5" spans="1:5" s="5" customFormat="1" x14ac:dyDescent="0.35">
      <c r="A5" s="1" t="s">
        <v>48</v>
      </c>
      <c r="B5" s="1">
        <v>127</v>
      </c>
      <c r="C5" s="4">
        <v>0.03</v>
      </c>
      <c r="D5" s="1">
        <v>38</v>
      </c>
      <c r="E5" s="1">
        <v>26</v>
      </c>
    </row>
    <row r="6" spans="1:5" s="5" customFormat="1" x14ac:dyDescent="0.35">
      <c r="A6" s="1" t="s">
        <v>41</v>
      </c>
      <c r="B6" s="1">
        <v>124</v>
      </c>
      <c r="C6" s="4">
        <v>0.03</v>
      </c>
      <c r="D6" s="1">
        <v>12</v>
      </c>
      <c r="E6" s="1">
        <v>5</v>
      </c>
    </row>
    <row r="7" spans="1:5" s="5" customFormat="1" x14ac:dyDescent="0.35">
      <c r="A7" s="1" t="s">
        <v>42</v>
      </c>
      <c r="B7" s="1">
        <v>109</v>
      </c>
      <c r="C7" s="4">
        <v>0.03</v>
      </c>
      <c r="D7" s="1">
        <v>12</v>
      </c>
      <c r="E7" s="1">
        <v>5</v>
      </c>
    </row>
    <row r="8" spans="1:5" s="5" customFormat="1" x14ac:dyDescent="0.35">
      <c r="A8" s="1" t="s">
        <v>49</v>
      </c>
      <c r="B8" s="1">
        <v>129.80000000000001</v>
      </c>
      <c r="C8" s="4">
        <v>0.04</v>
      </c>
      <c r="D8" s="1">
        <v>23</v>
      </c>
      <c r="E8" s="1">
        <v>16</v>
      </c>
    </row>
    <row r="9" spans="1:5" s="5" customFormat="1" x14ac:dyDescent="0.35">
      <c r="A9" s="1" t="s">
        <v>50</v>
      </c>
      <c r="B9" s="1">
        <v>129</v>
      </c>
      <c r="C9" s="4">
        <v>0.04</v>
      </c>
      <c r="D9" s="1">
        <v>23</v>
      </c>
      <c r="E9" s="1">
        <v>16</v>
      </c>
    </row>
    <row r="10" spans="1:5" s="5" customFormat="1" x14ac:dyDescent="0.35">
      <c r="A10" s="1" t="s">
        <v>51</v>
      </c>
      <c r="B10" s="1">
        <v>114.7</v>
      </c>
      <c r="C10" s="4">
        <v>0.04</v>
      </c>
      <c r="D10" s="1">
        <v>23</v>
      </c>
      <c r="E10" s="1">
        <v>16</v>
      </c>
    </row>
    <row r="11" spans="1:5" s="5" customFormat="1" x14ac:dyDescent="0.35">
      <c r="A11" s="1" t="s">
        <v>46</v>
      </c>
      <c r="B11" s="1">
        <v>108</v>
      </c>
      <c r="C11" s="4">
        <v>0.03</v>
      </c>
      <c r="D11" s="1">
        <v>20</v>
      </c>
      <c r="E11" s="1">
        <v>13</v>
      </c>
    </row>
    <row r="12" spans="1:5" s="5" customFormat="1" x14ac:dyDescent="0.35">
      <c r="A12" s="1" t="s">
        <v>45</v>
      </c>
      <c r="B12" s="1">
        <v>64</v>
      </c>
      <c r="C12" s="4">
        <v>0.03</v>
      </c>
      <c r="D12" s="1">
        <v>20</v>
      </c>
      <c r="E12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5592-8691-4F84-9D99-BA8C6D25210B}">
  <dimension ref="A1:E17"/>
  <sheetViews>
    <sheetView workbookViewId="0">
      <selection activeCell="E20" sqref="E20"/>
    </sheetView>
  </sheetViews>
  <sheetFormatPr defaultRowHeight="14.5" x14ac:dyDescent="0.35"/>
  <cols>
    <col min="1" max="1" width="32.90625" customWidth="1"/>
    <col min="2" max="2" width="17.36328125" customWidth="1"/>
    <col min="3" max="3" width="19.6328125" customWidth="1"/>
    <col min="4" max="4" width="15.453125" customWidth="1"/>
    <col min="5" max="5" width="16.08984375" customWidth="1"/>
  </cols>
  <sheetData>
    <row r="1" spans="1:5" s="1" customFormat="1" ht="16" x14ac:dyDescent="0.4">
      <c r="A1" s="3" t="s">
        <v>0</v>
      </c>
      <c r="B1" s="3" t="s">
        <v>68</v>
      </c>
      <c r="C1" s="3" t="s">
        <v>69</v>
      </c>
      <c r="D1" s="3" t="s">
        <v>74</v>
      </c>
      <c r="E1" s="3" t="s">
        <v>75</v>
      </c>
    </row>
    <row r="2" spans="1:5" s="5" customFormat="1" x14ac:dyDescent="0.35">
      <c r="A2" s="1" t="s">
        <v>62</v>
      </c>
      <c r="B2" s="1">
        <v>119</v>
      </c>
      <c r="C2" s="4">
        <v>0.03</v>
      </c>
      <c r="D2" s="1">
        <v>24</v>
      </c>
      <c r="E2" s="1">
        <v>14</v>
      </c>
    </row>
    <row r="3" spans="1:5" s="5" customFormat="1" x14ac:dyDescent="0.35">
      <c r="A3" s="1" t="s">
        <v>63</v>
      </c>
      <c r="B3" s="1">
        <v>139</v>
      </c>
      <c r="C3" s="4">
        <v>0.03</v>
      </c>
      <c r="D3" s="1">
        <v>23</v>
      </c>
      <c r="E3" s="1">
        <v>14</v>
      </c>
    </row>
    <row r="4" spans="1:5" s="5" customFormat="1" x14ac:dyDescent="0.35">
      <c r="A4" s="1" t="s">
        <v>64</v>
      </c>
      <c r="B4" s="1">
        <v>126</v>
      </c>
      <c r="C4" s="4">
        <v>0.03</v>
      </c>
      <c r="D4" s="1">
        <v>23</v>
      </c>
      <c r="E4" s="1">
        <v>14</v>
      </c>
    </row>
    <row r="5" spans="1:5" s="5" customFormat="1" x14ac:dyDescent="0.35">
      <c r="A5" s="1" t="s">
        <v>67</v>
      </c>
      <c r="B5" s="1">
        <v>145</v>
      </c>
      <c r="C5" s="4">
        <v>0.03</v>
      </c>
      <c r="D5" s="1">
        <v>32</v>
      </c>
      <c r="E5" s="1">
        <v>20</v>
      </c>
    </row>
    <row r="6" spans="1:5" s="5" customFormat="1" x14ac:dyDescent="0.35">
      <c r="A6" s="1" t="s">
        <v>52</v>
      </c>
      <c r="B6" s="1">
        <v>148</v>
      </c>
      <c r="C6" s="4">
        <v>0.03</v>
      </c>
      <c r="D6" s="1">
        <v>38</v>
      </c>
      <c r="E6" s="1">
        <v>24</v>
      </c>
    </row>
    <row r="7" spans="1:5" s="5" customFormat="1" x14ac:dyDescent="0.35">
      <c r="A7" s="1" t="s">
        <v>53</v>
      </c>
      <c r="B7" s="1">
        <v>128</v>
      </c>
      <c r="C7" s="4">
        <v>0.03</v>
      </c>
      <c r="D7" s="1">
        <v>38</v>
      </c>
      <c r="E7" s="1">
        <v>24</v>
      </c>
    </row>
    <row r="8" spans="1:5" s="5" customFormat="1" x14ac:dyDescent="0.35">
      <c r="A8" s="1" t="s">
        <v>54</v>
      </c>
      <c r="B8" s="1">
        <v>135</v>
      </c>
      <c r="C8" s="4">
        <v>0.03</v>
      </c>
      <c r="D8" s="1">
        <v>33</v>
      </c>
      <c r="E8" s="1">
        <v>22</v>
      </c>
    </row>
    <row r="9" spans="1:5" s="5" customFormat="1" x14ac:dyDescent="0.35">
      <c r="A9" s="1" t="s">
        <v>55</v>
      </c>
      <c r="B9" s="1">
        <v>128</v>
      </c>
      <c r="C9" s="4">
        <v>0.03</v>
      </c>
      <c r="D9" s="1">
        <v>33</v>
      </c>
      <c r="E9" s="1">
        <v>22</v>
      </c>
    </row>
    <row r="10" spans="1:5" s="5" customFormat="1" x14ac:dyDescent="0.35">
      <c r="A10" s="1" t="s">
        <v>60</v>
      </c>
      <c r="B10" s="1">
        <v>129</v>
      </c>
      <c r="C10" s="4">
        <v>0.03</v>
      </c>
      <c r="D10" s="1">
        <v>30</v>
      </c>
      <c r="E10" s="1">
        <v>18</v>
      </c>
    </row>
    <row r="11" spans="1:5" s="5" customFormat="1" x14ac:dyDescent="0.35">
      <c r="A11" s="1" t="s">
        <v>61</v>
      </c>
      <c r="B11" s="1">
        <v>123</v>
      </c>
      <c r="C11" s="4">
        <v>0.03</v>
      </c>
      <c r="D11" s="1">
        <v>30</v>
      </c>
      <c r="E11" s="1">
        <v>18</v>
      </c>
    </row>
    <row r="12" spans="1:5" s="5" customFormat="1" x14ac:dyDescent="0.35">
      <c r="A12" s="1" t="s">
        <v>65</v>
      </c>
      <c r="B12" s="2">
        <v>147.6</v>
      </c>
      <c r="C12" s="4">
        <v>0.01</v>
      </c>
      <c r="D12" s="1">
        <v>15</v>
      </c>
      <c r="E12" s="1">
        <v>10</v>
      </c>
    </row>
    <row r="13" spans="1:5" s="5" customFormat="1" x14ac:dyDescent="0.35">
      <c r="A13" s="1" t="s">
        <v>66</v>
      </c>
      <c r="B13" s="1">
        <v>142.30000000000001</v>
      </c>
      <c r="C13" s="4">
        <v>0.01</v>
      </c>
      <c r="D13" s="1">
        <v>15</v>
      </c>
      <c r="E13" s="1">
        <v>10</v>
      </c>
    </row>
    <row r="14" spans="1:5" s="5" customFormat="1" x14ac:dyDescent="0.35">
      <c r="A14" s="1" t="s">
        <v>56</v>
      </c>
      <c r="B14" s="1">
        <v>162</v>
      </c>
      <c r="C14" s="4">
        <v>0.03</v>
      </c>
      <c r="D14" s="1">
        <v>33</v>
      </c>
      <c r="E14" s="1">
        <v>22</v>
      </c>
    </row>
    <row r="15" spans="1:5" s="5" customFormat="1" x14ac:dyDescent="0.35">
      <c r="A15" s="1" t="s">
        <v>57</v>
      </c>
      <c r="B15" s="1">
        <v>155</v>
      </c>
      <c r="C15" s="4">
        <v>0.03</v>
      </c>
      <c r="D15" s="1">
        <v>33</v>
      </c>
      <c r="E15" s="1">
        <v>22</v>
      </c>
    </row>
    <row r="16" spans="1:5" s="5" customFormat="1" x14ac:dyDescent="0.35">
      <c r="A16" s="1" t="s">
        <v>58</v>
      </c>
      <c r="B16" s="1">
        <v>129</v>
      </c>
      <c r="C16" s="4">
        <v>0.03</v>
      </c>
      <c r="D16" s="1">
        <v>30</v>
      </c>
      <c r="E16" s="1">
        <v>20</v>
      </c>
    </row>
    <row r="17" spans="1:5" x14ac:dyDescent="0.35">
      <c r="A17" s="1" t="s">
        <v>59</v>
      </c>
      <c r="B17" s="1">
        <v>116</v>
      </c>
      <c r="C17" s="4">
        <v>0.03</v>
      </c>
      <c r="D17" s="1">
        <v>30</v>
      </c>
      <c r="E17" s="1">
        <v>20</v>
      </c>
    </row>
  </sheetData>
  <sortState xmlns:xlrd2="http://schemas.microsoft.com/office/spreadsheetml/2017/richdata2" ref="A2:E17">
    <sortCondition ref="A1:A1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6F84-2D3D-44A4-AF48-0218B834B0FE}">
  <dimension ref="A1:F12"/>
  <sheetViews>
    <sheetView workbookViewId="0">
      <selection activeCell="E21" sqref="E21"/>
    </sheetView>
  </sheetViews>
  <sheetFormatPr defaultRowHeight="14.5" x14ac:dyDescent="0.35"/>
  <cols>
    <col min="1" max="1" width="30.54296875" style="1" customWidth="1"/>
    <col min="2" max="2" width="15.7265625" style="1" customWidth="1"/>
    <col min="3" max="3" width="19" style="1" customWidth="1"/>
    <col min="4" max="4" width="13.7265625" style="1" customWidth="1"/>
    <col min="5" max="5" width="16.36328125" style="1" customWidth="1"/>
    <col min="6" max="6" width="36.08984375" style="1" customWidth="1"/>
    <col min="7" max="16384" width="8.7265625" style="1"/>
  </cols>
  <sheetData>
    <row r="1" spans="1:6" ht="16" x14ac:dyDescent="0.4">
      <c r="A1" s="3" t="s">
        <v>77</v>
      </c>
      <c r="B1" s="3" t="s">
        <v>68</v>
      </c>
      <c r="C1" s="3" t="s">
        <v>69</v>
      </c>
      <c r="D1" s="3" t="s">
        <v>74</v>
      </c>
      <c r="E1" s="3" t="s">
        <v>75</v>
      </c>
      <c r="F1" s="6" t="s">
        <v>78</v>
      </c>
    </row>
    <row r="2" spans="1:6" x14ac:dyDescent="0.35">
      <c r="A2" s="1" t="s">
        <v>80</v>
      </c>
      <c r="B2" s="1">
        <v>131.9</v>
      </c>
      <c r="C2" s="1">
        <v>1.2</v>
      </c>
      <c r="D2" s="1">
        <v>34</v>
      </c>
      <c r="E2" s="1">
        <v>11</v>
      </c>
      <c r="F2" s="7" t="s">
        <v>79</v>
      </c>
    </row>
    <row r="3" spans="1:6" x14ac:dyDescent="0.35">
      <c r="A3" s="1" t="s">
        <v>76</v>
      </c>
      <c r="B3" s="1">
        <v>127.4</v>
      </c>
      <c r="C3" s="1">
        <v>1.2</v>
      </c>
      <c r="D3" s="1">
        <v>34</v>
      </c>
      <c r="E3" s="1">
        <v>11</v>
      </c>
      <c r="F3" s="7" t="s">
        <v>79</v>
      </c>
    </row>
    <row r="4" spans="1:6" x14ac:dyDescent="0.35">
      <c r="A4" s="1" t="s">
        <v>81</v>
      </c>
      <c r="B4" s="1">
        <v>126</v>
      </c>
      <c r="C4" s="1">
        <v>8</v>
      </c>
      <c r="D4" s="1">
        <v>40</v>
      </c>
      <c r="E4" s="1">
        <v>15</v>
      </c>
      <c r="F4" s="7" t="s">
        <v>89</v>
      </c>
    </row>
    <row r="5" spans="1:6" x14ac:dyDescent="0.35">
      <c r="A5" s="1" t="s">
        <v>82</v>
      </c>
      <c r="B5" s="1">
        <v>128.43</v>
      </c>
      <c r="C5" s="1">
        <v>0.85</v>
      </c>
      <c r="D5" s="1">
        <v>46</v>
      </c>
      <c r="E5" s="1">
        <v>19</v>
      </c>
      <c r="F5" s="7" t="s">
        <v>84</v>
      </c>
    </row>
    <row r="6" spans="1:6" x14ac:dyDescent="0.35">
      <c r="A6" s="1" t="s">
        <v>83</v>
      </c>
      <c r="B6" s="1">
        <v>128</v>
      </c>
      <c r="C6" s="1">
        <v>13</v>
      </c>
      <c r="D6" s="1">
        <v>52</v>
      </c>
      <c r="E6" s="1">
        <v>23</v>
      </c>
      <c r="F6" s="7" t="s">
        <v>86</v>
      </c>
    </row>
    <row r="7" spans="1:6" x14ac:dyDescent="0.35">
      <c r="A7" s="1" t="s">
        <v>91</v>
      </c>
      <c r="B7" s="1">
        <v>145</v>
      </c>
      <c r="C7" s="1">
        <v>10</v>
      </c>
      <c r="D7" s="1">
        <v>32</v>
      </c>
      <c r="E7" s="1">
        <v>15</v>
      </c>
      <c r="F7" s="7" t="s">
        <v>87</v>
      </c>
    </row>
    <row r="8" spans="1:6" x14ac:dyDescent="0.35">
      <c r="A8" s="1" t="s">
        <v>92</v>
      </c>
      <c r="B8" s="1">
        <v>141.5</v>
      </c>
      <c r="C8" s="1">
        <v>10</v>
      </c>
      <c r="D8" s="1">
        <v>38</v>
      </c>
      <c r="E8" s="1">
        <v>19</v>
      </c>
      <c r="F8" s="7" t="s">
        <v>87</v>
      </c>
    </row>
    <row r="9" spans="1:6" x14ac:dyDescent="0.35">
      <c r="A9" s="1" t="s">
        <v>93</v>
      </c>
      <c r="B9" s="1">
        <v>145</v>
      </c>
      <c r="C9" s="1">
        <v>6</v>
      </c>
      <c r="D9" s="1">
        <v>44</v>
      </c>
      <c r="E9" s="1">
        <v>23</v>
      </c>
      <c r="F9" s="7" t="s">
        <v>88</v>
      </c>
    </row>
    <row r="10" spans="1:6" x14ac:dyDescent="0.35">
      <c r="A10" s="1" t="s">
        <v>90</v>
      </c>
      <c r="B10" s="1">
        <v>176.1</v>
      </c>
      <c r="C10" s="1">
        <v>6</v>
      </c>
      <c r="D10" s="1">
        <v>22</v>
      </c>
      <c r="E10" s="1">
        <v>11</v>
      </c>
      <c r="F10" s="7" t="s">
        <v>85</v>
      </c>
    </row>
    <row r="12" spans="1:6" x14ac:dyDescent="0.35">
      <c r="A12" s="1" t="s">
        <v>90</v>
      </c>
      <c r="B12" s="1">
        <v>176.1</v>
      </c>
      <c r="C12" s="1">
        <v>6</v>
      </c>
      <c r="D12" s="1">
        <v>22</v>
      </c>
      <c r="E12" s="1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49A5-FC48-487A-A83A-2F1423871667}">
  <dimension ref="A1:F12"/>
  <sheetViews>
    <sheetView workbookViewId="0">
      <selection activeCell="E16" sqref="E16"/>
    </sheetView>
  </sheetViews>
  <sheetFormatPr defaultColWidth="20.54296875" defaultRowHeight="14.5" x14ac:dyDescent="0.35"/>
  <cols>
    <col min="1" max="1" width="26.1796875" customWidth="1"/>
    <col min="2" max="2" width="16.1796875" customWidth="1"/>
    <col min="3" max="3" width="18.26953125" customWidth="1"/>
    <col min="4" max="4" width="14.26953125" customWidth="1"/>
    <col min="5" max="5" width="16.26953125" customWidth="1"/>
  </cols>
  <sheetData>
    <row r="1" spans="1:6" s="1" customFormat="1" ht="16" x14ac:dyDescent="0.4">
      <c r="A1" s="3" t="s">
        <v>0</v>
      </c>
      <c r="B1" s="3" t="s">
        <v>68</v>
      </c>
      <c r="C1" s="3" t="s">
        <v>69</v>
      </c>
      <c r="D1" s="3" t="s">
        <v>74</v>
      </c>
      <c r="E1" s="3" t="s">
        <v>75</v>
      </c>
      <c r="F1" s="3" t="s">
        <v>99</v>
      </c>
    </row>
    <row r="2" spans="1:6" s="1" customFormat="1" x14ac:dyDescent="0.35">
      <c r="A2" s="1" t="s">
        <v>72</v>
      </c>
      <c r="B2" s="1">
        <v>195</v>
      </c>
      <c r="C2" s="4">
        <v>0.02</v>
      </c>
      <c r="D2" s="1">
        <v>8</v>
      </c>
      <c r="E2" s="1">
        <v>6</v>
      </c>
      <c r="F2" s="1">
        <v>2</v>
      </c>
    </row>
    <row r="3" spans="1:6" s="1" customFormat="1" x14ac:dyDescent="0.35">
      <c r="A3" s="1" t="s">
        <v>39</v>
      </c>
      <c r="B3" s="1">
        <v>155</v>
      </c>
      <c r="C3" s="4">
        <v>0.03</v>
      </c>
      <c r="D3" s="1">
        <v>11</v>
      </c>
      <c r="E3" s="1">
        <v>8</v>
      </c>
      <c r="F3" s="1">
        <v>3</v>
      </c>
    </row>
    <row r="4" spans="1:6" s="1" customFormat="1" x14ac:dyDescent="0.35">
      <c r="A4" s="1" t="s">
        <v>36</v>
      </c>
      <c r="B4" s="1">
        <v>141.5</v>
      </c>
      <c r="C4" s="4">
        <v>0.03</v>
      </c>
      <c r="D4" s="1">
        <v>14</v>
      </c>
      <c r="E4" s="1">
        <v>10</v>
      </c>
      <c r="F4" s="1">
        <v>4</v>
      </c>
    </row>
    <row r="5" spans="1:6" s="1" customFormat="1" x14ac:dyDescent="0.35">
      <c r="A5" s="1" t="s">
        <v>32</v>
      </c>
      <c r="B5" s="1">
        <v>134</v>
      </c>
      <c r="C5" s="4">
        <v>0.04</v>
      </c>
      <c r="D5" s="1">
        <v>17</v>
      </c>
      <c r="E5" s="1">
        <v>12</v>
      </c>
      <c r="F5" s="1">
        <v>5</v>
      </c>
    </row>
    <row r="6" spans="1:6" s="1" customFormat="1" x14ac:dyDescent="0.35">
      <c r="A6" s="1" t="s">
        <v>29</v>
      </c>
      <c r="B6" s="1">
        <v>133</v>
      </c>
      <c r="C6" s="4">
        <v>4.2000000000000003E-2</v>
      </c>
      <c r="D6" s="1">
        <v>20</v>
      </c>
      <c r="E6" s="1">
        <v>14</v>
      </c>
      <c r="F6" s="1">
        <v>6</v>
      </c>
    </row>
    <row r="7" spans="1:6" s="1" customFormat="1" x14ac:dyDescent="0.35">
      <c r="A7" s="1" t="s">
        <v>50</v>
      </c>
      <c r="B7" s="1">
        <v>129</v>
      </c>
      <c r="C7" s="4">
        <v>0.04</v>
      </c>
      <c r="D7" s="1">
        <v>23</v>
      </c>
      <c r="E7" s="1">
        <v>16</v>
      </c>
      <c r="F7" s="1">
        <v>7</v>
      </c>
    </row>
    <row r="8" spans="1:6" s="1" customFormat="1" x14ac:dyDescent="0.35">
      <c r="A8" s="1" t="s">
        <v>27</v>
      </c>
      <c r="B8" s="1">
        <v>127</v>
      </c>
      <c r="C8" s="4">
        <v>0.03</v>
      </c>
      <c r="D8" s="1">
        <v>26</v>
      </c>
      <c r="E8" s="1">
        <v>18</v>
      </c>
      <c r="F8" s="1">
        <v>8</v>
      </c>
    </row>
    <row r="9" spans="1:6" s="1" customFormat="1" x14ac:dyDescent="0.35">
      <c r="A9" s="1" t="s">
        <v>24</v>
      </c>
      <c r="B9" s="1">
        <v>125</v>
      </c>
      <c r="C9" s="4">
        <v>0.03</v>
      </c>
      <c r="D9" s="1">
        <v>29</v>
      </c>
      <c r="E9" s="1">
        <v>20</v>
      </c>
      <c r="F9" s="1">
        <v>9</v>
      </c>
    </row>
    <row r="10" spans="1:6" s="1" customFormat="1" x14ac:dyDescent="0.35">
      <c r="A10" s="1" t="s">
        <v>21</v>
      </c>
      <c r="B10" s="1">
        <v>125</v>
      </c>
      <c r="C10" s="4">
        <v>0.03</v>
      </c>
      <c r="D10" s="1">
        <v>32</v>
      </c>
      <c r="E10" s="1">
        <v>22</v>
      </c>
      <c r="F10" s="1">
        <v>10</v>
      </c>
    </row>
    <row r="11" spans="1:6" s="1" customFormat="1" x14ac:dyDescent="0.35">
      <c r="A11" s="1" t="s">
        <v>19</v>
      </c>
      <c r="B11" s="1">
        <v>127</v>
      </c>
      <c r="C11" s="4">
        <v>0.03</v>
      </c>
      <c r="D11" s="1">
        <v>35</v>
      </c>
      <c r="E11" s="1">
        <v>24</v>
      </c>
      <c r="F11" s="1">
        <v>11</v>
      </c>
    </row>
    <row r="12" spans="1:6" s="1" customFormat="1" x14ac:dyDescent="0.35">
      <c r="A12" s="1" t="s">
        <v>48</v>
      </c>
      <c r="B12" s="1">
        <v>127</v>
      </c>
      <c r="C12" s="4">
        <v>0.03</v>
      </c>
      <c r="D12" s="1">
        <v>38</v>
      </c>
      <c r="E12" s="1">
        <v>26</v>
      </c>
      <c r="F12" s="1">
        <v>12</v>
      </c>
    </row>
  </sheetData>
  <sortState xmlns:xlrd2="http://schemas.microsoft.com/office/spreadsheetml/2017/richdata2" ref="A2:E13">
    <sortCondition ref="D1:D13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752A-13A3-486F-BA27-D88188882148}">
  <dimension ref="A1:E72"/>
  <sheetViews>
    <sheetView tabSelected="1" workbookViewId="0">
      <selection activeCell="B20" sqref="B20"/>
    </sheetView>
  </sheetViews>
  <sheetFormatPr defaultRowHeight="14.5" x14ac:dyDescent="0.35"/>
  <cols>
    <col min="1" max="1" width="41.54296875" style="1" customWidth="1"/>
    <col min="2" max="2" width="16.1796875" style="1" customWidth="1"/>
    <col min="3" max="3" width="18.36328125" style="1" customWidth="1"/>
    <col min="4" max="4" width="14.81640625" style="1" customWidth="1"/>
    <col min="5" max="5" width="16.08984375" style="1" customWidth="1"/>
    <col min="6" max="6" width="15.6328125" style="1" customWidth="1"/>
    <col min="7" max="16384" width="8.7265625" style="1"/>
  </cols>
  <sheetData>
    <row r="1" spans="1:5" ht="16" x14ac:dyDescent="0.4">
      <c r="A1" s="3" t="s">
        <v>0</v>
      </c>
      <c r="B1" s="3" t="s">
        <v>68</v>
      </c>
      <c r="C1" s="3" t="s">
        <v>69</v>
      </c>
      <c r="D1" s="3" t="s">
        <v>74</v>
      </c>
      <c r="E1" s="3" t="s">
        <v>75</v>
      </c>
    </row>
    <row r="2" spans="1:5" x14ac:dyDescent="0.35">
      <c r="A2" s="1" t="s">
        <v>70</v>
      </c>
      <c r="B2" s="1">
        <v>159</v>
      </c>
      <c r="C2" s="4">
        <v>0.03</v>
      </c>
      <c r="D2" s="1">
        <v>8</v>
      </c>
      <c r="E2" s="1">
        <v>4</v>
      </c>
    </row>
    <row r="3" spans="1:5" x14ac:dyDescent="0.35">
      <c r="A3" s="1" t="s">
        <v>2</v>
      </c>
      <c r="B3" s="1">
        <v>111</v>
      </c>
      <c r="C3" s="4">
        <v>0.03</v>
      </c>
      <c r="D3" s="1">
        <v>12</v>
      </c>
      <c r="E3" s="1">
        <v>5</v>
      </c>
    </row>
    <row r="4" spans="1:5" x14ac:dyDescent="0.35">
      <c r="A4" s="1" t="s">
        <v>3</v>
      </c>
      <c r="B4" s="1">
        <v>103</v>
      </c>
      <c r="C4" s="4">
        <v>0.03</v>
      </c>
      <c r="D4" s="1">
        <v>12</v>
      </c>
      <c r="E4" s="1">
        <v>5</v>
      </c>
    </row>
    <row r="5" spans="1:5" x14ac:dyDescent="0.35">
      <c r="A5" s="1" t="s">
        <v>15</v>
      </c>
      <c r="B5" s="1">
        <v>107</v>
      </c>
      <c r="C5" s="4">
        <v>0.03</v>
      </c>
      <c r="D5" s="1">
        <v>8</v>
      </c>
      <c r="E5" s="1">
        <v>5</v>
      </c>
    </row>
    <row r="6" spans="1:5" x14ac:dyDescent="0.35">
      <c r="A6" s="1" t="s">
        <v>16</v>
      </c>
      <c r="B6" s="1">
        <v>101</v>
      </c>
      <c r="C6" s="4">
        <v>0.03</v>
      </c>
      <c r="D6" s="1">
        <v>8</v>
      </c>
      <c r="E6" s="1">
        <v>5</v>
      </c>
    </row>
    <row r="7" spans="1:5" x14ac:dyDescent="0.35">
      <c r="A7" s="1" t="s">
        <v>35</v>
      </c>
      <c r="B7" s="1">
        <v>150</v>
      </c>
      <c r="C7" s="4">
        <v>0.03</v>
      </c>
      <c r="D7" s="1">
        <v>14</v>
      </c>
      <c r="E7" s="1">
        <v>10</v>
      </c>
    </row>
    <row r="8" spans="1:5" x14ac:dyDescent="0.35">
      <c r="A8" s="5" t="s">
        <v>36</v>
      </c>
      <c r="B8" s="1">
        <v>141.5</v>
      </c>
      <c r="C8" s="4">
        <v>0.03</v>
      </c>
      <c r="D8" s="1">
        <v>14</v>
      </c>
      <c r="E8" s="1">
        <v>10</v>
      </c>
    </row>
    <row r="9" spans="1:5" x14ac:dyDescent="0.35">
      <c r="A9" s="1" t="s">
        <v>37</v>
      </c>
      <c r="B9" s="1">
        <v>127</v>
      </c>
      <c r="C9" s="4">
        <v>0.03</v>
      </c>
      <c r="D9" s="1">
        <v>14</v>
      </c>
      <c r="E9" s="1">
        <v>10</v>
      </c>
    </row>
    <row r="10" spans="1:5" x14ac:dyDescent="0.35">
      <c r="A10" s="1" t="s">
        <v>62</v>
      </c>
      <c r="B10" s="1">
        <v>119</v>
      </c>
      <c r="C10" s="4">
        <v>0.03</v>
      </c>
      <c r="D10" s="1">
        <v>24</v>
      </c>
      <c r="E10" s="1">
        <v>14</v>
      </c>
    </row>
    <row r="11" spans="1:5" x14ac:dyDescent="0.35">
      <c r="A11" s="1" t="s">
        <v>63</v>
      </c>
      <c r="B11" s="1">
        <v>139</v>
      </c>
      <c r="C11" s="4">
        <v>0.03</v>
      </c>
      <c r="D11" s="1">
        <v>23</v>
      </c>
      <c r="E11" s="1">
        <v>14</v>
      </c>
    </row>
    <row r="12" spans="1:5" x14ac:dyDescent="0.35">
      <c r="A12" s="1" t="s">
        <v>64</v>
      </c>
      <c r="B12" s="1">
        <v>126</v>
      </c>
      <c r="C12" s="4">
        <v>0.03</v>
      </c>
      <c r="D12" s="1">
        <v>23</v>
      </c>
      <c r="E12" s="1">
        <v>14</v>
      </c>
    </row>
    <row r="13" spans="1:5" x14ac:dyDescent="0.35">
      <c r="A13" s="1" t="s">
        <v>4</v>
      </c>
      <c r="B13" s="1">
        <v>124</v>
      </c>
      <c r="C13" s="4">
        <v>0.03</v>
      </c>
      <c r="D13" s="1">
        <v>12</v>
      </c>
      <c r="E13" s="1">
        <v>5</v>
      </c>
    </row>
    <row r="14" spans="1:5" x14ac:dyDescent="0.35">
      <c r="A14" s="1" t="s">
        <v>5</v>
      </c>
      <c r="B14" s="1">
        <v>113</v>
      </c>
      <c r="C14" s="4">
        <v>0.03</v>
      </c>
      <c r="D14" s="1">
        <v>12</v>
      </c>
      <c r="E14" s="1">
        <v>5</v>
      </c>
    </row>
    <row r="15" spans="1:5" x14ac:dyDescent="0.35">
      <c r="A15" s="1" t="s">
        <v>7</v>
      </c>
      <c r="B15" s="1">
        <v>118</v>
      </c>
      <c r="C15" s="4">
        <v>0.03</v>
      </c>
      <c r="D15" s="1">
        <v>21</v>
      </c>
      <c r="E15" s="1">
        <v>14</v>
      </c>
    </row>
    <row r="16" spans="1:5" x14ac:dyDescent="0.35">
      <c r="A16" s="1" t="s">
        <v>8</v>
      </c>
      <c r="B16" s="1">
        <v>109</v>
      </c>
      <c r="C16" s="4">
        <v>0.03</v>
      </c>
      <c r="D16" s="1">
        <v>21</v>
      </c>
      <c r="E16" s="1">
        <v>14</v>
      </c>
    </row>
    <row r="17" spans="1:5" x14ac:dyDescent="0.35">
      <c r="A17" s="1" t="s">
        <v>43</v>
      </c>
      <c r="B17" s="1">
        <v>118.1</v>
      </c>
      <c r="C17" s="4">
        <v>0.01</v>
      </c>
      <c r="D17" s="1">
        <v>18</v>
      </c>
      <c r="E17" s="1">
        <v>12</v>
      </c>
    </row>
    <row r="18" spans="1:5" x14ac:dyDescent="0.35">
      <c r="A18" s="1" t="s">
        <v>44</v>
      </c>
      <c r="B18" s="1">
        <v>106</v>
      </c>
      <c r="C18" s="4">
        <v>0.03</v>
      </c>
      <c r="D18" s="1">
        <v>18</v>
      </c>
      <c r="E18" s="1">
        <v>12</v>
      </c>
    </row>
    <row r="19" spans="1:5" x14ac:dyDescent="0.35">
      <c r="A19" s="1" t="s">
        <v>6</v>
      </c>
      <c r="B19" s="1">
        <v>126.6</v>
      </c>
      <c r="C19" s="4">
        <v>0.01</v>
      </c>
      <c r="D19" s="1">
        <v>15</v>
      </c>
      <c r="E19" s="1">
        <v>10</v>
      </c>
    </row>
    <row r="20" spans="1:5" x14ac:dyDescent="0.35">
      <c r="A20" s="1" t="s">
        <v>20</v>
      </c>
      <c r="B20" s="1">
        <v>136</v>
      </c>
      <c r="C20" s="4">
        <v>0.03</v>
      </c>
      <c r="D20" s="1">
        <v>32</v>
      </c>
      <c r="E20" s="1">
        <v>22</v>
      </c>
    </row>
    <row r="21" spans="1:5" x14ac:dyDescent="0.35">
      <c r="A21" s="5" t="s">
        <v>21</v>
      </c>
      <c r="B21" s="1">
        <v>125</v>
      </c>
      <c r="C21" s="4">
        <v>0.03</v>
      </c>
      <c r="D21" s="1">
        <v>32</v>
      </c>
      <c r="E21" s="1">
        <v>22</v>
      </c>
    </row>
    <row r="22" spans="1:5" x14ac:dyDescent="0.35">
      <c r="A22" s="1" t="s">
        <v>22</v>
      </c>
      <c r="B22" s="1">
        <v>123</v>
      </c>
      <c r="C22" s="4">
        <v>0.03</v>
      </c>
      <c r="D22" s="1">
        <v>32</v>
      </c>
      <c r="E22" s="1">
        <v>22</v>
      </c>
    </row>
    <row r="23" spans="1:5" x14ac:dyDescent="0.35">
      <c r="A23" s="1" t="s">
        <v>67</v>
      </c>
      <c r="B23" s="1">
        <v>145</v>
      </c>
      <c r="C23" s="4">
        <v>0.03</v>
      </c>
      <c r="D23" s="1">
        <v>32</v>
      </c>
      <c r="E23" s="1">
        <v>20</v>
      </c>
    </row>
    <row r="24" spans="1:5" x14ac:dyDescent="0.35">
      <c r="A24" s="1" t="s">
        <v>52</v>
      </c>
      <c r="B24" s="1">
        <v>148</v>
      </c>
      <c r="C24" s="4">
        <v>0.03</v>
      </c>
      <c r="D24" s="1">
        <v>38</v>
      </c>
      <c r="E24" s="1">
        <v>24</v>
      </c>
    </row>
    <row r="25" spans="1:5" x14ac:dyDescent="0.35">
      <c r="A25" s="1" t="s">
        <v>53</v>
      </c>
      <c r="B25" s="1">
        <v>128</v>
      </c>
      <c r="C25" s="4">
        <v>0.03</v>
      </c>
      <c r="D25" s="1">
        <v>38</v>
      </c>
      <c r="E25" s="1">
        <v>24</v>
      </c>
    </row>
    <row r="26" spans="1:5" x14ac:dyDescent="0.35">
      <c r="A26" s="1" t="s">
        <v>54</v>
      </c>
      <c r="B26" s="1">
        <v>135</v>
      </c>
      <c r="C26" s="4">
        <v>0.03</v>
      </c>
      <c r="D26" s="1">
        <v>33</v>
      </c>
      <c r="E26" s="1">
        <v>22</v>
      </c>
    </row>
    <row r="27" spans="1:5" x14ac:dyDescent="0.35">
      <c r="A27" s="1" t="s">
        <v>55</v>
      </c>
      <c r="B27" s="1">
        <v>128</v>
      </c>
      <c r="C27" s="4">
        <v>0.03</v>
      </c>
      <c r="D27" s="1">
        <v>33</v>
      </c>
      <c r="E27" s="1">
        <v>22</v>
      </c>
    </row>
    <row r="28" spans="1:5" x14ac:dyDescent="0.35">
      <c r="A28" s="1" t="s">
        <v>73</v>
      </c>
      <c r="B28" s="1">
        <v>141.5</v>
      </c>
      <c r="C28" s="4">
        <v>0.03</v>
      </c>
      <c r="D28" s="1">
        <v>38</v>
      </c>
      <c r="E28" s="1">
        <v>26</v>
      </c>
    </row>
    <row r="29" spans="1:5" x14ac:dyDescent="0.35">
      <c r="A29" s="1" t="s">
        <v>47</v>
      </c>
      <c r="B29" s="1">
        <v>129.5</v>
      </c>
      <c r="C29" s="4">
        <v>0.03</v>
      </c>
      <c r="D29" s="1">
        <v>38</v>
      </c>
      <c r="E29" s="1">
        <v>26</v>
      </c>
    </row>
    <row r="30" spans="1:5" x14ac:dyDescent="0.35">
      <c r="A30" s="5" t="s">
        <v>48</v>
      </c>
      <c r="B30" s="1">
        <v>127</v>
      </c>
      <c r="C30" s="4">
        <v>0.03</v>
      </c>
      <c r="D30" s="1">
        <v>38</v>
      </c>
      <c r="E30" s="1">
        <v>26</v>
      </c>
    </row>
    <row r="31" spans="1:5" x14ac:dyDescent="0.35">
      <c r="A31" s="1" t="s">
        <v>71</v>
      </c>
      <c r="B31" s="1">
        <v>227</v>
      </c>
      <c r="C31" s="4">
        <v>0.02</v>
      </c>
      <c r="D31" s="1">
        <v>8</v>
      </c>
      <c r="E31" s="1">
        <v>6</v>
      </c>
    </row>
    <row r="32" spans="1:5" x14ac:dyDescent="0.35">
      <c r="A32" s="5" t="s">
        <v>72</v>
      </c>
      <c r="B32" s="1">
        <v>195</v>
      </c>
      <c r="C32" s="4">
        <v>0.02</v>
      </c>
      <c r="D32" s="1">
        <v>8</v>
      </c>
      <c r="E32" s="1">
        <v>6</v>
      </c>
    </row>
    <row r="33" spans="1:5" x14ac:dyDescent="0.35">
      <c r="A33" s="1" t="s">
        <v>41</v>
      </c>
      <c r="B33" s="1">
        <v>124</v>
      </c>
      <c r="C33" s="4">
        <v>0.03</v>
      </c>
      <c r="D33" s="1">
        <v>12</v>
      </c>
      <c r="E33" s="1">
        <v>5</v>
      </c>
    </row>
    <row r="34" spans="1:5" x14ac:dyDescent="0.35">
      <c r="A34" s="1" t="s">
        <v>42</v>
      </c>
      <c r="B34" s="1">
        <v>109</v>
      </c>
      <c r="C34" s="4">
        <v>0.03</v>
      </c>
      <c r="D34" s="1">
        <v>12</v>
      </c>
      <c r="E34" s="1">
        <v>5</v>
      </c>
    </row>
    <row r="35" spans="1:5" x14ac:dyDescent="0.35">
      <c r="A35" s="1" t="s">
        <v>49</v>
      </c>
      <c r="B35" s="1">
        <v>129.80000000000001</v>
      </c>
      <c r="C35" s="4">
        <v>0.04</v>
      </c>
      <c r="D35" s="1">
        <v>23</v>
      </c>
      <c r="E35" s="1">
        <v>16</v>
      </c>
    </row>
    <row r="36" spans="1:5" x14ac:dyDescent="0.35">
      <c r="A36" s="5" t="s">
        <v>50</v>
      </c>
      <c r="B36" s="1">
        <v>129</v>
      </c>
      <c r="C36" s="4">
        <v>0.04</v>
      </c>
      <c r="D36" s="1">
        <v>23</v>
      </c>
      <c r="E36" s="1">
        <v>16</v>
      </c>
    </row>
    <row r="37" spans="1:5" x14ac:dyDescent="0.35">
      <c r="A37" s="1" t="s">
        <v>51</v>
      </c>
      <c r="B37" s="1">
        <v>114.7</v>
      </c>
      <c r="C37" s="4">
        <v>0.04</v>
      </c>
      <c r="D37" s="1">
        <v>23</v>
      </c>
      <c r="E37" s="1">
        <v>16</v>
      </c>
    </row>
    <row r="38" spans="1:5" x14ac:dyDescent="0.35">
      <c r="A38" s="1" t="s">
        <v>1</v>
      </c>
      <c r="B38" s="1">
        <v>83</v>
      </c>
      <c r="C38" s="4">
        <v>0.03</v>
      </c>
      <c r="D38" s="1">
        <v>12</v>
      </c>
      <c r="E38" s="1">
        <v>0</v>
      </c>
    </row>
    <row r="39" spans="1:5" x14ac:dyDescent="0.35">
      <c r="A39" s="5" t="s">
        <v>29</v>
      </c>
      <c r="B39" s="1">
        <v>133</v>
      </c>
      <c r="C39" s="4">
        <v>4.2000000000000003E-2</v>
      </c>
      <c r="D39" s="1">
        <v>20</v>
      </c>
      <c r="E39" s="1">
        <v>14</v>
      </c>
    </row>
    <row r="40" spans="1:5" x14ac:dyDescent="0.35">
      <c r="A40" s="1" t="s">
        <v>30</v>
      </c>
      <c r="B40" s="1">
        <v>128</v>
      </c>
      <c r="C40" s="4">
        <v>4.2000000000000003E-2</v>
      </c>
      <c r="D40" s="1">
        <v>20</v>
      </c>
      <c r="E40" s="1">
        <v>14</v>
      </c>
    </row>
    <row r="41" spans="1:5" x14ac:dyDescent="0.35">
      <c r="A41" s="1" t="s">
        <v>31</v>
      </c>
      <c r="B41" s="1">
        <v>113</v>
      </c>
      <c r="C41" s="4">
        <v>4.2000000000000003E-2</v>
      </c>
      <c r="D41" s="1">
        <v>20</v>
      </c>
      <c r="E41" s="1">
        <v>14</v>
      </c>
    </row>
    <row r="42" spans="1:5" x14ac:dyDescent="0.35">
      <c r="A42" s="1" t="s">
        <v>60</v>
      </c>
      <c r="B42" s="1">
        <v>129</v>
      </c>
      <c r="C42" s="4">
        <v>0.03</v>
      </c>
      <c r="D42" s="1">
        <v>30</v>
      </c>
      <c r="E42" s="1">
        <v>18</v>
      </c>
    </row>
    <row r="43" spans="1:5" x14ac:dyDescent="0.35">
      <c r="A43" s="1" t="s">
        <v>61</v>
      </c>
      <c r="B43" s="1">
        <v>123</v>
      </c>
      <c r="C43" s="4">
        <v>0.03</v>
      </c>
      <c r="D43" s="1">
        <v>30</v>
      </c>
      <c r="E43" s="1">
        <v>18</v>
      </c>
    </row>
    <row r="44" spans="1:5" x14ac:dyDescent="0.35">
      <c r="A44" s="1" t="s">
        <v>23</v>
      </c>
      <c r="B44" s="1">
        <v>134</v>
      </c>
      <c r="C44" s="4">
        <v>0.03</v>
      </c>
      <c r="D44" s="1">
        <v>29</v>
      </c>
      <c r="E44" s="1">
        <v>20</v>
      </c>
    </row>
    <row r="45" spans="1:5" x14ac:dyDescent="0.35">
      <c r="A45" s="5" t="s">
        <v>24</v>
      </c>
      <c r="B45" s="1">
        <v>125</v>
      </c>
      <c r="C45" s="4">
        <v>0.03</v>
      </c>
      <c r="D45" s="1">
        <v>29</v>
      </c>
      <c r="E45" s="1">
        <v>20</v>
      </c>
    </row>
    <row r="46" spans="1:5" x14ac:dyDescent="0.35">
      <c r="A46" s="1" t="s">
        <v>25</v>
      </c>
      <c r="B46" s="1">
        <v>120</v>
      </c>
      <c r="C46" s="4">
        <v>0.03</v>
      </c>
      <c r="D46" s="1">
        <v>29</v>
      </c>
      <c r="E46" s="1">
        <v>20</v>
      </c>
    </row>
    <row r="47" spans="1:5" x14ac:dyDescent="0.35">
      <c r="A47" s="1" t="s">
        <v>26</v>
      </c>
      <c r="B47" s="1">
        <v>133</v>
      </c>
      <c r="C47" s="4">
        <v>0.03</v>
      </c>
      <c r="D47" s="1">
        <v>26</v>
      </c>
      <c r="E47" s="1">
        <v>18</v>
      </c>
    </row>
    <row r="48" spans="1:5" x14ac:dyDescent="0.35">
      <c r="A48" s="5" t="s">
        <v>27</v>
      </c>
      <c r="B48" s="1">
        <v>127</v>
      </c>
      <c r="C48" s="4">
        <v>0.03</v>
      </c>
      <c r="D48" s="1">
        <v>26</v>
      </c>
      <c r="E48" s="1">
        <v>18</v>
      </c>
    </row>
    <row r="49" spans="1:5" x14ac:dyDescent="0.35">
      <c r="A49" s="1" t="s">
        <v>28</v>
      </c>
      <c r="B49" s="1">
        <v>117</v>
      </c>
      <c r="C49" s="4">
        <v>0.03</v>
      </c>
      <c r="D49" s="1">
        <v>26</v>
      </c>
      <c r="E49" s="1">
        <v>18</v>
      </c>
    </row>
    <row r="50" spans="1:5" x14ac:dyDescent="0.35">
      <c r="A50" s="1" t="s">
        <v>46</v>
      </c>
      <c r="B50" s="1">
        <v>108</v>
      </c>
      <c r="C50" s="4">
        <v>0.03</v>
      </c>
      <c r="D50" s="1">
        <v>20</v>
      </c>
      <c r="E50" s="1">
        <v>13</v>
      </c>
    </row>
    <row r="51" spans="1:5" x14ac:dyDescent="0.35">
      <c r="A51" s="1" t="s">
        <v>12</v>
      </c>
      <c r="B51" s="1">
        <v>101</v>
      </c>
      <c r="C51" s="4">
        <v>0.03</v>
      </c>
      <c r="D51" s="1">
        <v>20</v>
      </c>
      <c r="E51" s="1">
        <v>13</v>
      </c>
    </row>
    <row r="52" spans="1:5" x14ac:dyDescent="0.35">
      <c r="A52" s="1" t="s">
        <v>65</v>
      </c>
      <c r="B52" s="2">
        <v>147.6</v>
      </c>
      <c r="C52" s="4">
        <v>0.01</v>
      </c>
      <c r="D52" s="1">
        <v>15</v>
      </c>
      <c r="E52" s="1">
        <v>10</v>
      </c>
    </row>
    <row r="53" spans="1:5" x14ac:dyDescent="0.35">
      <c r="A53" s="1" t="s">
        <v>66</v>
      </c>
      <c r="B53" s="1">
        <v>142.30000000000001</v>
      </c>
      <c r="C53" s="4">
        <v>0.01</v>
      </c>
      <c r="D53" s="1">
        <v>15</v>
      </c>
      <c r="E53" s="1">
        <v>10</v>
      </c>
    </row>
    <row r="54" spans="1:5" x14ac:dyDescent="0.35">
      <c r="A54" s="1" t="s">
        <v>13</v>
      </c>
      <c r="B54" s="1">
        <v>127</v>
      </c>
      <c r="C54" s="4">
        <v>0.03</v>
      </c>
      <c r="D54" s="1">
        <v>26</v>
      </c>
      <c r="E54" s="1">
        <v>17</v>
      </c>
    </row>
    <row r="55" spans="1:5" x14ac:dyDescent="0.35">
      <c r="A55" s="1" t="s">
        <v>14</v>
      </c>
      <c r="B55" s="1">
        <v>121</v>
      </c>
      <c r="C55" s="4">
        <v>0.03</v>
      </c>
      <c r="D55" s="1">
        <v>26</v>
      </c>
      <c r="E55" s="1">
        <v>17</v>
      </c>
    </row>
    <row r="56" spans="1:5" x14ac:dyDescent="0.35">
      <c r="A56" s="1" t="s">
        <v>56</v>
      </c>
      <c r="B56" s="1">
        <v>162</v>
      </c>
      <c r="C56" s="4">
        <v>0.03</v>
      </c>
      <c r="D56" s="1">
        <v>33</v>
      </c>
      <c r="E56" s="1">
        <v>22</v>
      </c>
    </row>
    <row r="57" spans="1:5" x14ac:dyDescent="0.35">
      <c r="A57" s="1" t="s">
        <v>57</v>
      </c>
      <c r="B57" s="1">
        <v>155</v>
      </c>
      <c r="C57" s="4">
        <v>0.03</v>
      </c>
      <c r="D57" s="1">
        <v>33</v>
      </c>
      <c r="E57" s="1">
        <v>22</v>
      </c>
    </row>
    <row r="58" spans="1:5" x14ac:dyDescent="0.35">
      <c r="A58" s="1" t="s">
        <v>58</v>
      </c>
      <c r="B58" s="1">
        <v>129</v>
      </c>
      <c r="C58" s="4">
        <v>0.03</v>
      </c>
      <c r="D58" s="1">
        <v>30</v>
      </c>
      <c r="E58" s="1">
        <v>20</v>
      </c>
    </row>
    <row r="59" spans="1:5" x14ac:dyDescent="0.35">
      <c r="A59" s="1" t="s">
        <v>59</v>
      </c>
      <c r="B59" s="1">
        <v>116</v>
      </c>
      <c r="C59" s="4">
        <v>0.03</v>
      </c>
      <c r="D59" s="1">
        <v>30</v>
      </c>
      <c r="E59" s="1">
        <v>20</v>
      </c>
    </row>
    <row r="60" spans="1:5" x14ac:dyDescent="0.35">
      <c r="A60" s="5" t="s">
        <v>32</v>
      </c>
      <c r="B60" s="1">
        <v>134</v>
      </c>
      <c r="C60" s="4">
        <v>0.04</v>
      </c>
      <c r="D60" s="1">
        <v>17</v>
      </c>
      <c r="E60" s="1">
        <v>12</v>
      </c>
    </row>
    <row r="61" spans="1:5" x14ac:dyDescent="0.35">
      <c r="A61" s="1" t="s">
        <v>33</v>
      </c>
      <c r="B61" s="1">
        <v>131</v>
      </c>
      <c r="C61" s="4">
        <v>0.04</v>
      </c>
      <c r="D61" s="1">
        <v>17</v>
      </c>
      <c r="E61" s="1">
        <v>12</v>
      </c>
    </row>
    <row r="62" spans="1:5" x14ac:dyDescent="0.35">
      <c r="A62" s="1" t="s">
        <v>34</v>
      </c>
      <c r="B62" s="1">
        <v>112</v>
      </c>
      <c r="C62" s="4">
        <v>0.04</v>
      </c>
      <c r="D62" s="1">
        <v>17</v>
      </c>
      <c r="E62" s="1">
        <v>12</v>
      </c>
    </row>
    <row r="63" spans="1:5" x14ac:dyDescent="0.35">
      <c r="A63" s="1" t="s">
        <v>11</v>
      </c>
      <c r="B63" s="1">
        <v>53</v>
      </c>
      <c r="C63" s="4">
        <v>0.03</v>
      </c>
      <c r="D63" s="1">
        <v>23</v>
      </c>
      <c r="E63" s="1">
        <v>0</v>
      </c>
    </row>
    <row r="64" spans="1:5" x14ac:dyDescent="0.35">
      <c r="A64" s="1" t="s">
        <v>45</v>
      </c>
      <c r="B64" s="1">
        <v>64</v>
      </c>
      <c r="C64" s="4">
        <v>0.03</v>
      </c>
      <c r="D64" s="1">
        <v>20</v>
      </c>
      <c r="E64" s="1">
        <v>0</v>
      </c>
    </row>
    <row r="65" spans="1:5" x14ac:dyDescent="0.35">
      <c r="A65" s="1" t="s">
        <v>9</v>
      </c>
      <c r="B65" s="1">
        <v>62</v>
      </c>
      <c r="C65" s="4">
        <v>0.03</v>
      </c>
      <c r="D65" s="1">
        <v>26</v>
      </c>
      <c r="E65" s="1">
        <v>0</v>
      </c>
    </row>
    <row r="66" spans="1:5" x14ac:dyDescent="0.35">
      <c r="A66" s="1" t="s">
        <v>10</v>
      </c>
      <c r="B66" s="1">
        <v>55</v>
      </c>
      <c r="C66" s="4">
        <v>0.03</v>
      </c>
      <c r="D66" s="1">
        <v>26</v>
      </c>
      <c r="E66" s="1">
        <v>0</v>
      </c>
    </row>
    <row r="67" spans="1:5" x14ac:dyDescent="0.35">
      <c r="A67" s="1" t="s">
        <v>38</v>
      </c>
      <c r="B67" s="1">
        <v>179</v>
      </c>
      <c r="C67" s="4">
        <v>0.03</v>
      </c>
      <c r="D67" s="1">
        <v>11</v>
      </c>
      <c r="E67" s="1">
        <v>8</v>
      </c>
    </row>
    <row r="68" spans="1:5" x14ac:dyDescent="0.35">
      <c r="A68" s="5" t="s">
        <v>39</v>
      </c>
      <c r="B68" s="1">
        <v>155</v>
      </c>
      <c r="C68" s="4">
        <v>0.03</v>
      </c>
      <c r="D68" s="1">
        <v>11</v>
      </c>
      <c r="E68" s="1">
        <v>8</v>
      </c>
    </row>
    <row r="69" spans="1:5" x14ac:dyDescent="0.35">
      <c r="A69" s="1" t="s">
        <v>40</v>
      </c>
      <c r="B69" s="1">
        <v>149</v>
      </c>
      <c r="C69" s="4">
        <v>0.03</v>
      </c>
      <c r="D69" s="1">
        <v>11</v>
      </c>
      <c r="E69" s="1">
        <v>8</v>
      </c>
    </row>
    <row r="70" spans="1:5" x14ac:dyDescent="0.35">
      <c r="A70" s="1" t="s">
        <v>17</v>
      </c>
      <c r="B70" s="1">
        <v>142</v>
      </c>
      <c r="C70" s="4">
        <v>0.03</v>
      </c>
      <c r="D70" s="1">
        <v>35</v>
      </c>
      <c r="E70" s="1">
        <v>24</v>
      </c>
    </row>
    <row r="71" spans="1:5" x14ac:dyDescent="0.35">
      <c r="A71" s="1" t="s">
        <v>18</v>
      </c>
      <c r="B71" s="1">
        <v>128</v>
      </c>
      <c r="C71" s="4">
        <v>0.03</v>
      </c>
      <c r="D71" s="1">
        <v>35</v>
      </c>
      <c r="E71" s="1">
        <v>24</v>
      </c>
    </row>
    <row r="72" spans="1:5" x14ac:dyDescent="0.35">
      <c r="A72" s="5" t="s">
        <v>19</v>
      </c>
      <c r="B72" s="1">
        <v>127</v>
      </c>
      <c r="C72" s="4">
        <v>0.03</v>
      </c>
      <c r="D72" s="1">
        <v>35</v>
      </c>
      <c r="E72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data_tc_hfd_full</vt:lpstr>
      <vt:lpstr>Systems_StatePoints_Training</vt:lpstr>
      <vt:lpstr>Systems_StatePoints_Validation</vt:lpstr>
      <vt:lpstr>Systems_StatePoints_Testing</vt:lpstr>
      <vt:lpstr>Systems_StatePoints_PureIL</vt:lpstr>
      <vt:lpstr>Systems_StatePoints_IL_HFC_MIX</vt:lpstr>
      <vt:lpstr>Systems_StatePoints_Others</vt:lpstr>
      <vt:lpstr>data_tc_hfd_IL</vt:lpstr>
      <vt:lpstr>data_tc_hfd_IL_HFC</vt:lpstr>
      <vt:lpstr>Alkanes_sameT</vt:lpstr>
      <vt:lpstr>ILs_sameT</vt:lpstr>
      <vt:lpstr>data_tc_hfd_train</vt:lpstr>
      <vt:lpstr>data_tc_hfd_val</vt:lpstr>
      <vt:lpstr>data_tc_hfd_test</vt:lpstr>
      <vt:lpstr>data_tc_hfd_IL_with_ref</vt:lpstr>
      <vt:lpstr>Alkanes_sameTr</vt:lpstr>
      <vt:lpstr>data_Tc_full_orig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Barnabas Agbodekhe</cp:lastModifiedBy>
  <dcterms:created xsi:type="dcterms:W3CDTF">2026-01-04T22:05:09Z</dcterms:created>
  <dcterms:modified xsi:type="dcterms:W3CDTF">2026-02-04T03:49:39Z</dcterms:modified>
</cp:coreProperties>
</file>